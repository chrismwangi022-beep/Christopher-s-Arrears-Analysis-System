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Christopher\Arrears Reports\Arears Reports formating folder\Documents\"/>
    </mc:Choice>
  </mc:AlternateContent>
  <xr:revisionPtr revIDLastSave="0" documentId="13_ncr:1_{A2556A4D-6C90-4DD4-8BD5-E905F715B828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P61" i="1" l="1"/>
  <c r="P79" i="1" s="1"/>
</calcChain>
</file>

<file path=xl/sharedStrings.xml><?xml version="1.0" encoding="utf-8"?>
<sst xmlns="http://schemas.openxmlformats.org/spreadsheetml/2006/main" count="301" uniqueCount="237">
  <si>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</si>
  <si>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</si>
  <si>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</si>
  <si>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</si>
  <si>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</si>
  <si>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</si>
  <si>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</si>
  <si>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</si>
  <si>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</si>
  <si>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</si>
  <si>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</si>
  <si>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</si>
  <si>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</si>
  <si>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</si>
  <si>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</si>
  <si>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</si>
  <si>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</si>
  <si>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Tharaka</t>
  </si>
  <si>
    <t>Loan Officer :</t>
  </si>
  <si>
    <t>Jeremiah  Gathonjia  Kuira</t>
  </si>
  <si>
    <t>1001014</t>
  </si>
  <si>
    <t>DONANTA KAWIRA KABURIA</t>
  </si>
  <si>
    <t>0704267427</t>
  </si>
  <si>
    <t>DUMISHA</t>
  </si>
  <si>
    <t>1000932</t>
  </si>
  <si>
    <t>JOSEPH KENYATTAH KITHETU</t>
  </si>
  <si>
    <t>0796161791</t>
  </si>
  <si>
    <t>STAWISHA BIZ</t>
  </si>
  <si>
    <t>1002810</t>
  </si>
  <si>
    <t>ESTHER  KAGENDO MUTHENGI</t>
  </si>
  <si>
    <t>0700858811</t>
  </si>
  <si>
    <t>JENGA</t>
  </si>
  <si>
    <t>1003213</t>
  </si>
  <si>
    <t>CYNTHIA   KARITHI</t>
  </si>
  <si>
    <t>0719762558</t>
  </si>
  <si>
    <t>Inua plus</t>
  </si>
  <si>
    <t>1001613</t>
  </si>
  <si>
    <t>TABITHA GATIIRIA KIREMA</t>
  </si>
  <si>
    <t>0743114950</t>
  </si>
  <si>
    <t>1001628</t>
  </si>
  <si>
    <t>JOHN MUTHENGI MITAMBO</t>
  </si>
  <si>
    <t>0746257857</t>
  </si>
  <si>
    <t>ENDELEZA BIZ</t>
  </si>
  <si>
    <t>1004680</t>
  </si>
  <si>
    <t>PETER MWANGI KIOBE</t>
  </si>
  <si>
    <t>0740879830</t>
  </si>
  <si>
    <t>1001514</t>
  </si>
  <si>
    <t>SALOME MUKEITHI MUNGORI</t>
  </si>
  <si>
    <t>0769837316</t>
  </si>
  <si>
    <t>1004725</t>
  </si>
  <si>
    <t>LENA   KAGWIRA</t>
  </si>
  <si>
    <t>0700801745</t>
  </si>
  <si>
    <t>1001058</t>
  </si>
  <si>
    <t>JANE  KAREMU KIBARA</t>
  </si>
  <si>
    <t>0706240411</t>
  </si>
  <si>
    <t>1001015</t>
  </si>
  <si>
    <t>MILLICENT KAGWIRIA MUTEGI</t>
  </si>
  <si>
    <t>0719698079</t>
  </si>
  <si>
    <t>1000771</t>
  </si>
  <si>
    <t>PROFESSOR MWITHAIRI KAMWARA</t>
  </si>
  <si>
    <t>0759840072</t>
  </si>
  <si>
    <t>1004610</t>
  </si>
  <si>
    <t>LAWRENCE KIREA KIREMA</t>
  </si>
  <si>
    <t>0758428062</t>
  </si>
  <si>
    <t>1000768</t>
  </si>
  <si>
    <t>JOSEPH MUNENE MUGAO</t>
  </si>
  <si>
    <t>0719549441</t>
  </si>
  <si>
    <t>1001604</t>
  </si>
  <si>
    <t>STELLAH KARITHI KIRIA</t>
  </si>
  <si>
    <t>0748883914</t>
  </si>
  <si>
    <t>1000978</t>
  </si>
  <si>
    <t>FAITH KAREMU NYAGA</t>
  </si>
  <si>
    <t>0740690080</t>
  </si>
  <si>
    <t>1002026</t>
  </si>
  <si>
    <t>JOSEPH KIRIMI KIMATHI</t>
  </si>
  <si>
    <t>0115496787</t>
  </si>
  <si>
    <t>Kalen     Makena</t>
  </si>
  <si>
    <t>1000967</t>
  </si>
  <si>
    <t>TABITHA MUKWAREMA CHABARI</t>
  </si>
  <si>
    <t>0795792692</t>
  </si>
  <si>
    <t>1001741</t>
  </si>
  <si>
    <t>PETER GITONGA BENARD</t>
  </si>
  <si>
    <t>0723485969</t>
  </si>
  <si>
    <t>Okoa</t>
  </si>
  <si>
    <t>1001196</t>
  </si>
  <si>
    <t>JOHN MUKUNDI MWABU</t>
  </si>
  <si>
    <t>0707159087</t>
  </si>
  <si>
    <t>1000999</t>
  </si>
  <si>
    <t>JOSPHINE  KAJIRA GAICHU</t>
  </si>
  <si>
    <t>0110983138</t>
  </si>
  <si>
    <t>1000935</t>
  </si>
  <si>
    <t>DAUDI KINYIRI KIREMA</t>
  </si>
  <si>
    <t>0704742351</t>
  </si>
  <si>
    <t>1002608</t>
  </si>
  <si>
    <t>SAMUEL MUTEGI MUGAO</t>
  </si>
  <si>
    <t>0798779800</t>
  </si>
  <si>
    <t>1001000</t>
  </si>
  <si>
    <t>HARRIET GAKUNYI M'NDEREBA</t>
  </si>
  <si>
    <t>0746930158</t>
  </si>
  <si>
    <t>1001062</t>
  </si>
  <si>
    <t>WILFRED NYAGA ICHERIA</t>
  </si>
  <si>
    <t>0740433688</t>
  </si>
  <si>
    <t>1003850</t>
  </si>
  <si>
    <t>ROSEJOY KARIMI MBAKA</t>
  </si>
  <si>
    <t>0114430405</t>
  </si>
  <si>
    <t>1001075</t>
  </si>
  <si>
    <t>JOYCE KAWIRA KIMATHI</t>
  </si>
  <si>
    <t>0742757672</t>
  </si>
  <si>
    <t>1005138</t>
  </si>
  <si>
    <t>BENSON KIAMBI MUGAO</t>
  </si>
  <si>
    <t>0727373987</t>
  </si>
  <si>
    <t>1003975</t>
  </si>
  <si>
    <t>LUCY MUTHONI MUGAO</t>
  </si>
  <si>
    <t>0706742507</t>
  </si>
  <si>
    <t>1004501</t>
  </si>
  <si>
    <t>AARON KIMATHI MUCHENA</t>
  </si>
  <si>
    <t>0727571042</t>
  </si>
  <si>
    <t>1001677</t>
  </si>
  <si>
    <t>JOSEPH IGUNA CHABARI</t>
  </si>
  <si>
    <t>0790768466</t>
  </si>
  <si>
    <t>1000943</t>
  </si>
  <si>
    <t>GEOFFREY MUKUNDI MUCEE</t>
  </si>
  <si>
    <t>0702937910</t>
  </si>
  <si>
    <t>1001061</t>
  </si>
  <si>
    <t>FRIDA KAGENDO KANGAYIA</t>
  </si>
  <si>
    <t>0768076120</t>
  </si>
  <si>
    <t>1001898</t>
  </si>
  <si>
    <t>FRANCIS MUTIRIA NYAGA</t>
  </si>
  <si>
    <t>0799997665</t>
  </si>
  <si>
    <t>1001515</t>
  </si>
  <si>
    <t>MARGARET KARIMI MUTE</t>
  </si>
  <si>
    <t>0792144390</t>
  </si>
  <si>
    <t>Lindah  Gatugi  Gitonga</t>
  </si>
  <si>
    <t>1004938</t>
  </si>
  <si>
    <t>NAOMI NJERI NGUGI</t>
  </si>
  <si>
    <t>0707164132</t>
  </si>
  <si>
    <t>JIINUE</t>
  </si>
  <si>
    <t>1004974</t>
  </si>
  <si>
    <t>JOSYLINE NKUENE RIUNGU</t>
  </si>
  <si>
    <t>0798113732</t>
  </si>
  <si>
    <t>1005023</t>
  </si>
  <si>
    <t>CAROLINE GATWIRI KAARIA</t>
  </si>
  <si>
    <t>0745540298</t>
  </si>
  <si>
    <t>1004936</t>
  </si>
  <si>
    <t>JANET AWUOR ONYANGO</t>
  </si>
  <si>
    <t>0723484432</t>
  </si>
  <si>
    <t>1005231</t>
  </si>
  <si>
    <t>TERRY  KATHURE RIUNGU</t>
  </si>
  <si>
    <t>0726360186</t>
  </si>
  <si>
    <t>1005243</t>
  </si>
  <si>
    <t>AKISHA MUKAMI NJOKA</t>
  </si>
  <si>
    <t>0708785293</t>
  </si>
  <si>
    <t>1005214</t>
  </si>
  <si>
    <t>MADRICE KAJUJU NYAGA</t>
  </si>
  <si>
    <t>0798719034</t>
  </si>
  <si>
    <t>1005107</t>
  </si>
  <si>
    <t>BETTY MWENDE MBABU</t>
  </si>
  <si>
    <t>0711996058</t>
  </si>
  <si>
    <t>1004931</t>
  </si>
  <si>
    <t>EMISS GATWIRI KIRIMO</t>
  </si>
  <si>
    <t>0715223291</t>
  </si>
  <si>
    <t>1005244</t>
  </si>
  <si>
    <t>DORCAS   KANARIO</t>
  </si>
  <si>
    <t>0704147874</t>
  </si>
  <si>
    <t>1005110</t>
  </si>
  <si>
    <t>PATRICK GITARI ELIAS</t>
  </si>
  <si>
    <t>0759235858</t>
  </si>
  <si>
    <t>1004972</t>
  </si>
  <si>
    <t>MAUTA CAROLYN KAGENDO</t>
  </si>
  <si>
    <t>0706470255</t>
  </si>
  <si>
    <t>1004961</t>
  </si>
  <si>
    <t>FRIDAH  GACHERI NJERU</t>
  </si>
  <si>
    <t>0714308607</t>
  </si>
  <si>
    <t>1005026</t>
  </si>
  <si>
    <t>PAMELA NKIROTE NJERU</t>
  </si>
  <si>
    <t>0703828203</t>
  </si>
  <si>
    <t>1005070</t>
  </si>
  <si>
    <t>LENAH GATUGI MUGAMBI</t>
  </si>
  <si>
    <t>0718704371</t>
  </si>
  <si>
    <t>1005136</t>
  </si>
  <si>
    <t>JULIIUS MWENDA MBAE</t>
  </si>
  <si>
    <t>0727868735</t>
  </si>
  <si>
    <t>1005098</t>
  </si>
  <si>
    <t>LUCY WANJA GITONGA</t>
  </si>
  <si>
    <t>0721762071</t>
  </si>
  <si>
    <t>1005118</t>
  </si>
  <si>
    <t>KELLY KAWIRA KIBAARA</t>
  </si>
  <si>
    <t>0140886491</t>
  </si>
  <si>
    <t>Wilson  Gitonga  Misheck</t>
  </si>
  <si>
    <t>1003181</t>
  </si>
  <si>
    <t>IREEN NKATHA NTHIGA</t>
  </si>
  <si>
    <t>0719208774</t>
  </si>
  <si>
    <t>1001704</t>
  </si>
  <si>
    <t>MARY MUKETHI MURAGE</t>
  </si>
  <si>
    <t>0742527021</t>
  </si>
  <si>
    <t>1003048</t>
  </si>
  <si>
    <t>MARTIN MUTETHIA KATHENDU</t>
  </si>
  <si>
    <t>0719250124</t>
  </si>
  <si>
    <t>1001464</t>
  </si>
  <si>
    <t>SARAH KARAUKI MUMPU</t>
  </si>
  <si>
    <t>0711690689</t>
  </si>
  <si>
    <t>1001610</t>
  </si>
  <si>
    <t>JOHN KIMATHI KIREA</t>
  </si>
  <si>
    <t>0707440182</t>
  </si>
  <si>
    <t>1004454</t>
  </si>
  <si>
    <t>ANN KAINYU MAMURITHI</t>
  </si>
  <si>
    <t>0728886083</t>
  </si>
  <si>
    <t>1003986</t>
  </si>
  <si>
    <t>HARIET NCUGU CHABARI</t>
  </si>
  <si>
    <t>0748128557</t>
  </si>
  <si>
    <t>1002867</t>
  </si>
  <si>
    <t>EUNICE KAMBURA MWINJI</t>
  </si>
  <si>
    <t>0769696327</t>
  </si>
  <si>
    <t>1001178</t>
  </si>
  <si>
    <t>JANE KAJIRA MUGAMBI</t>
  </si>
  <si>
    <t>0741233510</t>
  </si>
  <si>
    <t>1003883</t>
  </si>
  <si>
    <t>PATRICK MUTHINI KAMWARA</t>
  </si>
  <si>
    <t>0117251016</t>
  </si>
  <si>
    <t>1001968</t>
  </si>
  <si>
    <t>SAPHILA KABAARA KANYARU</t>
  </si>
  <si>
    <t>0716007760</t>
  </si>
  <si>
    <t>1004213</t>
  </si>
  <si>
    <t>JOAKIM GITONGA MAUNGA</t>
  </si>
  <si>
    <t>0716021403</t>
  </si>
  <si>
    <t>1005144</t>
  </si>
  <si>
    <t>JOSPHAT   MUGAO</t>
  </si>
  <si>
    <t>0717402412</t>
  </si>
  <si>
    <t>1003874</t>
  </si>
  <si>
    <t>DORIS   KAGENDO</t>
  </si>
  <si>
    <t>0716090980</t>
  </si>
  <si>
    <t>1002858</t>
  </si>
  <si>
    <t>REGINA KARIGU MUTURI</t>
  </si>
  <si>
    <t>0706139841</t>
  </si>
  <si>
    <t>Printed On :</t>
  </si>
  <si>
    <t>TOTAL</t>
  </si>
  <si>
    <t>KINDLY NOTE ARREARS ARE TOO HIGH EVERY OFFICER TO WORK ON THE HIGHLIGHTED LOANS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</si>
</sst>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4" x14ac:knownFonts="1">
    <font>
      <sz val="10"/>
      <color rgb="FF000000"/>
      <name val="ARIAL"/>
      <charset val="1"/>
    </font>
    <font>
      <sz val="10"/>
      <color rgb="FF000000"/>
      <name val="Arial"/>
      <family val="2"/>
    </font>
    <font>
      <b/>
      <sz val="10"/>
      <name val="ARIAL"/>
    </font>
    <font>
      <b/>
      <sz val="10"/>
      <color rgb="FFFF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7B589"/>
        <bgColor rgb="FFF7B58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3" borderId="1" xfId="0" applyFont="1" applyFill="1" applyBorder="1" applyAlignment="1">
      <alignment vertical="top"/>
    </xf>
    <xf numFmtId="0" fontId="3" fillId="3" borderId="1" xfId="0" applyFont="1" applyFill="1" applyBorder="1" applyAlignment="1">
      <alignment vertical="top"/>
    </xf>
    <xf numFmtId="0" fontId="2" fillId="0" borderId="1" xfId="0" applyFont="1" applyBorder="1"/>
    <xf numFmtId="0" fontId="3" fillId="0" borderId="1" xfId="0" applyFont="1" applyBorder="1"/>
    <xf numFmtId="0" fontId="2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37" fontId="0" fillId="0" borderId="1" xfId="0" applyNumberFormat="1" applyBorder="1" applyAlignment="1">
      <alignment vertical="top"/>
    </xf>
    <xf numFmtId="4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  <xf numFmtId="37" fontId="3" fillId="0" borderId="1" xfId="0" applyNumberFormat="1" applyFont="1" applyBorder="1" applyAlignment="1">
      <alignment vertical="top"/>
    </xf>
    <xf numFmtId="0" fontId="0" fillId="2" borderId="1" xfId="0" applyFill="1" applyBorder="1" applyAlignment="1">
      <alignment vertical="top"/>
    </xf>
    <xf numFmtId="164" fontId="0" fillId="2" borderId="1" xfId="0" applyNumberFormat="1" applyFill="1" applyBorder="1" applyAlignment="1">
      <alignment vertical="top"/>
    </xf>
    <xf numFmtId="37" fontId="0" fillId="2" borderId="1" xfId="0" applyNumberFormat="1" applyFill="1" applyBorder="1" applyAlignment="1">
      <alignment vertical="top"/>
    </xf>
    <xf numFmtId="4" fontId="0" fillId="2" borderId="1" xfId="0" applyNumberFormat="1" applyFill="1" applyBorder="1" applyAlignment="1">
      <alignment vertical="top"/>
    </xf>
    <xf numFmtId="165" fontId="0" fillId="2" borderId="1" xfId="0" applyNumberFormat="1" applyFill="1" applyBorder="1" applyAlignment="1">
      <alignment vertical="top"/>
    </xf>
    <xf numFmtId="37" fontId="3" fillId="2" borderId="1" xfId="0" applyNumberFormat="1" applyFont="1" applyFill="1" applyBorder="1" applyAlignment="1">
      <alignment vertical="top"/>
    </xf>
    <xf numFmtId="0" fontId="0" fillId="0" borderId="1" xfId="0" applyBorder="1"/>
    <xf numFmtId="3" fontId="0" fillId="0" borderId="1" xfId="0" applyNumberFormat="1" applyBorder="1" applyAlignment="1">
      <alignment vertical="top"/>
    </xf>
    <xf numFmtId="4" fontId="3" fillId="0" borderId="1" xfId="0" applyNumberFormat="1" applyFont="1" applyBorder="1" applyAlignment="1">
      <alignment vertical="top"/>
    </xf>
    <xf numFmtId="14" fontId="0" fillId="0" borderId="1" xfId="0" applyNumberFormat="1" applyBorder="1" applyAlignment="1">
      <alignment vertical="top"/>
    </xf>
    <xf numFmtId="0" fontId="2" fillId="3" borderId="1" xfId="0" applyFont="1" applyFill="1" applyBorder="1"/>
    <xf numFmtId="0" fontId="3" fillId="3" borderId="1" xfId="0" applyFont="1" applyFill="1" applyBorder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83"/>
  <sheetViews>
    <sheetView tabSelected="1" workbookViewId="0">
      <selection activeCell="P1" sqref="P1:P1048576"/>
    </sheetView>
  </sheetViews>
  <sheetFormatPr defaultColWidth="6.85546875" defaultRowHeight="12.75" customHeight="1" x14ac:dyDescent="0.2"/>
  <cols>
    <col min="1" max="1" width="13.42578125" bestFit="1" customWidth="1"/>
    <col min="2" max="2" width="42.42578125" customWidth="1"/>
    <col min="3" max="3" width="11" hidden="1" customWidth="1"/>
    <col min="4" max="4" width="14.140625" hidden="1" customWidth="1"/>
    <col min="5" max="5" width="12.28515625" hidden="1" customWidth="1"/>
    <col min="6" max="6" width="9.140625" hidden="1" customWidth="1"/>
    <col min="7" max="7" width="8.140625" hidden="1" customWidth="1"/>
    <col min="8" max="8" width="10.7109375" hidden="1" customWidth="1"/>
    <col min="9" max="10" width="10.140625" hidden="1" customWidth="1"/>
    <col min="11" max="11" width="13.140625" hidden="1" customWidth="1"/>
    <col min="12" max="12" width="5.28515625" hidden="1" customWidth="1"/>
    <col min="13" max="13" width="8.140625" hidden="1" customWidth="1"/>
    <col min="14" max="14" width="12.28515625" hidden="1" customWidth="1"/>
    <col min="15" max="15" width="11" hidden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45587</v>
      </c>
      <c r="F4" s="8">
        <v>10000</v>
      </c>
      <c r="G4" s="8">
        <v>3000</v>
      </c>
      <c r="H4" s="8">
        <v>13000</v>
      </c>
      <c r="I4" s="9">
        <v>2710</v>
      </c>
      <c r="J4" s="9">
        <v>500</v>
      </c>
      <c r="K4" s="8">
        <v>3210</v>
      </c>
      <c r="L4" s="10">
        <v>548</v>
      </c>
      <c r="M4" s="8">
        <v>3210</v>
      </c>
      <c r="N4" s="7">
        <v>45622</v>
      </c>
      <c r="O4" s="8">
        <v>2167</v>
      </c>
      <c r="P4" s="11">
        <v>3210</v>
      </c>
    </row>
    <row r="5" spans="1:16" ht="12.75" customHeight="1" x14ac:dyDescent="0.2">
      <c r="A5" s="6" t="s">
        <v>24</v>
      </c>
      <c r="B5" s="6" t="s">
        <v>25</v>
      </c>
      <c r="C5" s="6" t="s">
        <v>26</v>
      </c>
      <c r="D5" s="6" t="s">
        <v>27</v>
      </c>
      <c r="E5" s="7">
        <v>45785</v>
      </c>
      <c r="F5" s="8">
        <v>25000</v>
      </c>
      <c r="G5" s="8">
        <v>8750</v>
      </c>
      <c r="H5" s="8">
        <v>33750</v>
      </c>
      <c r="I5" s="9">
        <v>2450</v>
      </c>
      <c r="J5" s="9">
        <v>0</v>
      </c>
      <c r="K5" s="8">
        <v>2450</v>
      </c>
      <c r="L5" s="10">
        <v>343</v>
      </c>
      <c r="M5" s="8">
        <v>2450</v>
      </c>
      <c r="N5" s="7">
        <v>45827</v>
      </c>
      <c r="O5" s="8">
        <v>5625</v>
      </c>
      <c r="P5" s="11">
        <v>2450</v>
      </c>
    </row>
    <row r="6" spans="1:16" ht="12.75" customHeight="1" x14ac:dyDescent="0.2">
      <c r="A6" s="6" t="s">
        <v>28</v>
      </c>
      <c r="B6" s="6" t="s">
        <v>29</v>
      </c>
      <c r="C6" s="6" t="s">
        <v>30</v>
      </c>
      <c r="D6" s="6" t="s">
        <v>31</v>
      </c>
      <c r="E6" s="7">
        <v>45922</v>
      </c>
      <c r="F6" s="8">
        <v>15000</v>
      </c>
      <c r="G6" s="8">
        <v>4500</v>
      </c>
      <c r="H6" s="8">
        <v>19500</v>
      </c>
      <c r="I6" s="9">
        <v>3100</v>
      </c>
      <c r="J6" s="9">
        <v>750</v>
      </c>
      <c r="K6" s="8">
        <v>3850</v>
      </c>
      <c r="L6" s="10">
        <v>213</v>
      </c>
      <c r="M6" s="8">
        <v>3850</v>
      </c>
      <c r="N6" s="7">
        <v>45957</v>
      </c>
      <c r="O6" s="8">
        <v>3250</v>
      </c>
      <c r="P6" s="11">
        <v>3850</v>
      </c>
    </row>
    <row r="7" spans="1:16" ht="12.75" customHeight="1" x14ac:dyDescent="0.2">
      <c r="A7" s="12" t="s">
        <v>32</v>
      </c>
      <c r="B7" s="12" t="s">
        <v>33</v>
      </c>
      <c r="C7" s="12" t="s">
        <v>34</v>
      </c>
      <c r="D7" s="12" t="s">
        <v>35</v>
      </c>
      <c r="E7" s="13">
        <v>45952</v>
      </c>
      <c r="F7" s="14">
        <v>50000</v>
      </c>
      <c r="G7" s="14">
        <v>36000</v>
      </c>
      <c r="H7" s="14">
        <v>86000</v>
      </c>
      <c r="I7" s="15">
        <v>24998</v>
      </c>
      <c r="J7" s="15">
        <v>17982</v>
      </c>
      <c r="K7" s="14">
        <v>42980</v>
      </c>
      <c r="L7" s="16">
        <v>6</v>
      </c>
      <c r="M7" s="14">
        <v>7149</v>
      </c>
      <c r="N7" s="13">
        <v>46164</v>
      </c>
      <c r="O7" s="14">
        <v>7167</v>
      </c>
      <c r="P7" s="17">
        <v>7149</v>
      </c>
    </row>
    <row r="8" spans="1:16" ht="12.75" customHeight="1" x14ac:dyDescent="0.2">
      <c r="A8" s="6" t="s">
        <v>36</v>
      </c>
      <c r="B8" s="6" t="s">
        <v>37</v>
      </c>
      <c r="C8" s="6" t="s">
        <v>38</v>
      </c>
      <c r="D8" s="6" t="s">
        <v>31</v>
      </c>
      <c r="E8" s="7">
        <v>46001</v>
      </c>
      <c r="F8" s="8">
        <v>13000</v>
      </c>
      <c r="G8" s="8">
        <v>3900</v>
      </c>
      <c r="H8" s="8">
        <v>16900</v>
      </c>
      <c r="I8" s="9">
        <v>4332</v>
      </c>
      <c r="J8" s="9">
        <v>808</v>
      </c>
      <c r="K8" s="8">
        <v>5140</v>
      </c>
      <c r="L8" s="10">
        <v>134</v>
      </c>
      <c r="M8" s="8">
        <v>5140</v>
      </c>
      <c r="N8" s="7">
        <v>46036</v>
      </c>
      <c r="O8" s="8">
        <v>2817</v>
      </c>
      <c r="P8" s="11">
        <v>5140</v>
      </c>
    </row>
    <row r="9" spans="1:16" ht="12.75" customHeight="1" x14ac:dyDescent="0.2">
      <c r="A9" s="6" t="s">
        <v>39</v>
      </c>
      <c r="B9" s="6" t="s">
        <v>40</v>
      </c>
      <c r="C9" s="6" t="s">
        <v>41</v>
      </c>
      <c r="D9" s="6" t="s">
        <v>42</v>
      </c>
      <c r="E9" s="7">
        <v>46015</v>
      </c>
      <c r="F9" s="8">
        <v>20000</v>
      </c>
      <c r="G9" s="8">
        <v>8000</v>
      </c>
      <c r="H9" s="8">
        <v>28000</v>
      </c>
      <c r="I9" s="9">
        <v>2500</v>
      </c>
      <c r="J9" s="9">
        <v>0</v>
      </c>
      <c r="K9" s="8">
        <v>2500</v>
      </c>
      <c r="L9" s="10">
        <v>99</v>
      </c>
      <c r="M9" s="8">
        <v>2500</v>
      </c>
      <c r="N9" s="7">
        <v>46071</v>
      </c>
      <c r="O9" s="8">
        <v>3500</v>
      </c>
      <c r="P9" s="11">
        <v>2500</v>
      </c>
    </row>
    <row r="10" spans="1:16" ht="12.75" customHeight="1" x14ac:dyDescent="0.2">
      <c r="A10" s="6" t="s">
        <v>43</v>
      </c>
      <c r="B10" s="6" t="s">
        <v>44</v>
      </c>
      <c r="C10" s="6" t="s">
        <v>45</v>
      </c>
      <c r="D10" s="6" t="s">
        <v>23</v>
      </c>
      <c r="E10" s="7">
        <v>46056</v>
      </c>
      <c r="F10" s="8">
        <v>10000</v>
      </c>
      <c r="G10" s="8">
        <v>3000</v>
      </c>
      <c r="H10" s="8">
        <v>13000</v>
      </c>
      <c r="I10" s="9">
        <v>545</v>
      </c>
      <c r="J10" s="9">
        <v>0</v>
      </c>
      <c r="K10" s="8">
        <v>545</v>
      </c>
      <c r="L10" s="10">
        <v>72</v>
      </c>
      <c r="M10" s="8">
        <v>545</v>
      </c>
      <c r="N10" s="7">
        <v>46098</v>
      </c>
      <c r="O10" s="8">
        <v>2167</v>
      </c>
      <c r="P10" s="11">
        <v>545</v>
      </c>
    </row>
    <row r="11" spans="1:16" ht="12.75" customHeight="1" x14ac:dyDescent="0.2">
      <c r="A11" s="12" t="s">
        <v>46</v>
      </c>
      <c r="B11" s="12" t="s">
        <v>47</v>
      </c>
      <c r="C11" s="12" t="s">
        <v>48</v>
      </c>
      <c r="D11" s="12" t="s">
        <v>35</v>
      </c>
      <c r="E11" s="13">
        <v>46058</v>
      </c>
      <c r="F11" s="14">
        <v>80000</v>
      </c>
      <c r="G11" s="14">
        <v>48000</v>
      </c>
      <c r="H11" s="14">
        <v>128000</v>
      </c>
      <c r="I11" s="15">
        <v>62300</v>
      </c>
      <c r="J11" s="15">
        <v>33600</v>
      </c>
      <c r="K11" s="14">
        <v>95900</v>
      </c>
      <c r="L11" s="16">
        <v>23</v>
      </c>
      <c r="M11" s="14">
        <v>6300</v>
      </c>
      <c r="N11" s="13">
        <v>46147</v>
      </c>
      <c r="O11" s="14">
        <v>12800</v>
      </c>
      <c r="P11" s="17">
        <v>6300</v>
      </c>
    </row>
    <row r="12" spans="1:16" ht="12.75" customHeight="1" x14ac:dyDescent="0.2">
      <c r="A12" s="6" t="s">
        <v>49</v>
      </c>
      <c r="B12" s="6" t="s">
        <v>50</v>
      </c>
      <c r="C12" s="6" t="s">
        <v>51</v>
      </c>
      <c r="D12" s="6" t="s">
        <v>23</v>
      </c>
      <c r="E12" s="7">
        <v>46064</v>
      </c>
      <c r="F12" s="8">
        <v>10000</v>
      </c>
      <c r="G12" s="8">
        <v>3000</v>
      </c>
      <c r="H12" s="8">
        <v>13000</v>
      </c>
      <c r="I12" s="9">
        <v>2660</v>
      </c>
      <c r="J12" s="9">
        <v>500</v>
      </c>
      <c r="K12" s="8">
        <v>3160</v>
      </c>
      <c r="L12" s="10">
        <v>71</v>
      </c>
      <c r="M12" s="8">
        <v>3160</v>
      </c>
      <c r="N12" s="7">
        <v>46099</v>
      </c>
      <c r="O12" s="8">
        <v>2167</v>
      </c>
      <c r="P12" s="11">
        <v>3160</v>
      </c>
    </row>
    <row r="13" spans="1:16" ht="12.75" customHeight="1" x14ac:dyDescent="0.2">
      <c r="A13" s="6" t="s">
        <v>52</v>
      </c>
      <c r="B13" s="6" t="s">
        <v>53</v>
      </c>
      <c r="C13" s="6" t="s">
        <v>54</v>
      </c>
      <c r="D13" s="6" t="s">
        <v>23</v>
      </c>
      <c r="E13" s="7">
        <v>46065</v>
      </c>
      <c r="F13" s="8">
        <v>6000</v>
      </c>
      <c r="G13" s="8">
        <v>3000</v>
      </c>
      <c r="H13" s="8">
        <v>9000</v>
      </c>
      <c r="I13" s="9">
        <v>1000</v>
      </c>
      <c r="J13" s="9">
        <v>200</v>
      </c>
      <c r="K13" s="8">
        <v>1200</v>
      </c>
      <c r="L13" s="10">
        <v>63</v>
      </c>
      <c r="M13" s="8">
        <v>1200</v>
      </c>
      <c r="N13" s="7">
        <v>46107</v>
      </c>
      <c r="O13" s="8">
        <v>1500</v>
      </c>
      <c r="P13" s="11">
        <v>1200</v>
      </c>
    </row>
    <row r="14" spans="1:16" ht="12.75" customHeight="1" x14ac:dyDescent="0.2">
      <c r="A14" s="6" t="s">
        <v>55</v>
      </c>
      <c r="B14" s="6" t="s">
        <v>56</v>
      </c>
      <c r="C14" s="6" t="s">
        <v>57</v>
      </c>
      <c r="D14" s="6" t="s">
        <v>31</v>
      </c>
      <c r="E14" s="7">
        <v>46098</v>
      </c>
      <c r="F14" s="8">
        <v>12000</v>
      </c>
      <c r="G14" s="8">
        <v>3600</v>
      </c>
      <c r="H14" s="8">
        <v>15600</v>
      </c>
      <c r="I14" s="9">
        <v>6000</v>
      </c>
      <c r="J14" s="9">
        <v>1300</v>
      </c>
      <c r="K14" s="8">
        <v>7300</v>
      </c>
      <c r="L14" s="10">
        <v>44</v>
      </c>
      <c r="M14" s="8">
        <v>7300</v>
      </c>
      <c r="N14" s="7">
        <v>46126</v>
      </c>
      <c r="O14" s="8">
        <v>2600</v>
      </c>
      <c r="P14" s="11">
        <v>7300</v>
      </c>
    </row>
    <row r="15" spans="1:16" ht="12.75" customHeight="1" x14ac:dyDescent="0.2">
      <c r="A15" s="12" t="s">
        <v>58</v>
      </c>
      <c r="B15" s="12" t="s">
        <v>59</v>
      </c>
      <c r="C15" s="12" t="s">
        <v>60</v>
      </c>
      <c r="D15" s="12" t="s">
        <v>42</v>
      </c>
      <c r="E15" s="13">
        <v>46119</v>
      </c>
      <c r="F15" s="14">
        <v>17000</v>
      </c>
      <c r="G15" s="14">
        <v>5100</v>
      </c>
      <c r="H15" s="14">
        <v>22100</v>
      </c>
      <c r="I15" s="15">
        <v>3315</v>
      </c>
      <c r="J15" s="15">
        <v>850</v>
      </c>
      <c r="K15" s="14">
        <v>4165</v>
      </c>
      <c r="L15" s="16">
        <v>16</v>
      </c>
      <c r="M15" s="14">
        <v>4165</v>
      </c>
      <c r="N15" s="13">
        <v>46154</v>
      </c>
      <c r="O15" s="14">
        <v>3683</v>
      </c>
      <c r="P15" s="17">
        <v>4165</v>
      </c>
    </row>
    <row r="16" spans="1:16" ht="12.75" customHeight="1" x14ac:dyDescent="0.2">
      <c r="A16" s="12" t="s">
        <v>61</v>
      </c>
      <c r="B16" s="12" t="s">
        <v>62</v>
      </c>
      <c r="C16" s="12" t="s">
        <v>63</v>
      </c>
      <c r="D16" s="12" t="s">
        <v>23</v>
      </c>
      <c r="E16" s="13">
        <v>46127</v>
      </c>
      <c r="F16" s="14">
        <v>10000</v>
      </c>
      <c r="G16" s="14">
        <v>3000</v>
      </c>
      <c r="H16" s="14">
        <v>13000</v>
      </c>
      <c r="I16" s="15">
        <v>1665</v>
      </c>
      <c r="J16" s="15">
        <v>485</v>
      </c>
      <c r="K16" s="14">
        <v>2150</v>
      </c>
      <c r="L16" s="16">
        <v>1</v>
      </c>
      <c r="M16" s="14">
        <v>2150</v>
      </c>
      <c r="N16" s="13">
        <v>46169</v>
      </c>
      <c r="O16" s="14">
        <v>2167</v>
      </c>
      <c r="P16" s="17">
        <v>2150</v>
      </c>
    </row>
    <row r="17" spans="1:16" ht="12.75" customHeight="1" x14ac:dyDescent="0.2">
      <c r="A17" s="12" t="s">
        <v>64</v>
      </c>
      <c r="B17" s="12" t="s">
        <v>65</v>
      </c>
      <c r="C17" s="12" t="s">
        <v>66</v>
      </c>
      <c r="D17" s="12" t="s">
        <v>42</v>
      </c>
      <c r="E17" s="13">
        <v>46129</v>
      </c>
      <c r="F17" s="14">
        <v>20000</v>
      </c>
      <c r="G17" s="14">
        <v>6000</v>
      </c>
      <c r="H17" s="14">
        <v>26000</v>
      </c>
      <c r="I17" s="15">
        <v>10865</v>
      </c>
      <c r="J17" s="15">
        <v>3000</v>
      </c>
      <c r="K17" s="14">
        <v>13865</v>
      </c>
      <c r="L17" s="16">
        <v>20</v>
      </c>
      <c r="M17" s="14">
        <v>9530</v>
      </c>
      <c r="N17" s="13">
        <v>46150</v>
      </c>
      <c r="O17" s="14">
        <v>4333</v>
      </c>
      <c r="P17" s="17">
        <v>9530</v>
      </c>
    </row>
    <row r="18" spans="1:16" ht="12.75" customHeight="1" x14ac:dyDescent="0.2">
      <c r="A18" s="12" t="s">
        <v>67</v>
      </c>
      <c r="B18" s="12" t="s">
        <v>68</v>
      </c>
      <c r="C18" s="12" t="s">
        <v>69</v>
      </c>
      <c r="D18" s="12" t="s">
        <v>23</v>
      </c>
      <c r="E18" s="13">
        <v>46140</v>
      </c>
      <c r="F18" s="14">
        <v>10000</v>
      </c>
      <c r="G18" s="14">
        <v>3000</v>
      </c>
      <c r="H18" s="14">
        <v>13000</v>
      </c>
      <c r="I18" s="15">
        <v>6830</v>
      </c>
      <c r="J18" s="15">
        <v>2000</v>
      </c>
      <c r="K18" s="14">
        <v>8830</v>
      </c>
      <c r="L18" s="16">
        <v>16</v>
      </c>
      <c r="M18" s="14">
        <v>4498</v>
      </c>
      <c r="N18" s="13">
        <v>46154</v>
      </c>
      <c r="O18" s="14">
        <v>2167</v>
      </c>
      <c r="P18" s="17">
        <v>4498</v>
      </c>
    </row>
    <row r="19" spans="1:16" ht="12.75" customHeight="1" x14ac:dyDescent="0.2">
      <c r="A19" s="12" t="s">
        <v>70</v>
      </c>
      <c r="B19" s="12" t="s">
        <v>71</v>
      </c>
      <c r="C19" s="12" t="s">
        <v>72</v>
      </c>
      <c r="D19" s="12" t="s">
        <v>23</v>
      </c>
      <c r="E19" s="13">
        <v>46142</v>
      </c>
      <c r="F19" s="14">
        <v>8000</v>
      </c>
      <c r="G19" s="14">
        <v>3000</v>
      </c>
      <c r="H19" s="14">
        <v>11000</v>
      </c>
      <c r="I19" s="15">
        <v>4617</v>
      </c>
      <c r="J19" s="15">
        <v>1500</v>
      </c>
      <c r="K19" s="14">
        <v>6117</v>
      </c>
      <c r="L19" s="16">
        <v>7</v>
      </c>
      <c r="M19" s="14">
        <v>2449</v>
      </c>
      <c r="N19" s="13">
        <v>46163</v>
      </c>
      <c r="O19" s="14">
        <v>1833</v>
      </c>
      <c r="P19" s="17">
        <v>2449</v>
      </c>
    </row>
    <row r="20" spans="1:16" ht="12.75" customHeight="1" x14ac:dyDescent="0.2">
      <c r="A20" s="12" t="s">
        <v>73</v>
      </c>
      <c r="B20" s="12" t="s">
        <v>74</v>
      </c>
      <c r="C20" s="12" t="s">
        <v>75</v>
      </c>
      <c r="D20" s="12" t="s">
        <v>23</v>
      </c>
      <c r="E20" s="13">
        <v>46146</v>
      </c>
      <c r="F20" s="14">
        <v>10000</v>
      </c>
      <c r="G20" s="14">
        <v>3000</v>
      </c>
      <c r="H20" s="14">
        <v>13000</v>
      </c>
      <c r="I20" s="15">
        <v>6666</v>
      </c>
      <c r="J20" s="15">
        <v>1994</v>
      </c>
      <c r="K20" s="14">
        <v>8660</v>
      </c>
      <c r="L20" s="16">
        <v>3</v>
      </c>
      <c r="M20" s="14">
        <v>2161</v>
      </c>
      <c r="N20" s="13">
        <v>46167</v>
      </c>
      <c r="O20" s="14">
        <v>2167</v>
      </c>
      <c r="P20" s="17">
        <v>2161</v>
      </c>
    </row>
    <row r="21" spans="1:16" ht="12.75" customHeight="1" x14ac:dyDescent="0.2">
      <c r="A21" s="18"/>
      <c r="B21" s="19">
        <v>17</v>
      </c>
      <c r="C21" s="18"/>
      <c r="D21" s="18"/>
      <c r="E21" s="18"/>
      <c r="F21" s="8">
        <v>326000</v>
      </c>
      <c r="G21" s="8">
        <v>147850</v>
      </c>
      <c r="H21" s="8">
        <v>473850</v>
      </c>
      <c r="I21" s="9">
        <v>146553</v>
      </c>
      <c r="J21" s="9">
        <v>65469</v>
      </c>
      <c r="K21" s="8">
        <v>212022</v>
      </c>
      <c r="L21" s="18"/>
      <c r="M21" s="8">
        <v>67757</v>
      </c>
      <c r="N21" s="18"/>
      <c r="O21" s="18"/>
      <c r="P21" s="20">
        <v>67757</v>
      </c>
    </row>
    <row r="22" spans="1:16" ht="12.75" customHeight="1" x14ac:dyDescent="0.2">
      <c r="A22" s="5" t="s">
        <v>18</v>
      </c>
      <c r="B22" s="5" t="s">
        <v>76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4"/>
    </row>
    <row r="23" spans="1:16" ht="12.75" customHeight="1" x14ac:dyDescent="0.2">
      <c r="A23" s="6" t="s">
        <v>77</v>
      </c>
      <c r="B23" s="6" t="s">
        <v>78</v>
      </c>
      <c r="C23" s="6" t="s">
        <v>79</v>
      </c>
      <c r="D23" s="6" t="s">
        <v>42</v>
      </c>
      <c r="E23" s="7">
        <v>45604</v>
      </c>
      <c r="F23" s="8">
        <v>20000</v>
      </c>
      <c r="G23" s="8">
        <v>8000</v>
      </c>
      <c r="H23" s="8">
        <v>28000</v>
      </c>
      <c r="I23" s="9">
        <v>7500</v>
      </c>
      <c r="J23" s="9">
        <v>2200</v>
      </c>
      <c r="K23" s="8">
        <v>9700</v>
      </c>
      <c r="L23" s="10">
        <v>524</v>
      </c>
      <c r="M23" s="8">
        <v>9700</v>
      </c>
      <c r="N23" s="7">
        <v>45646</v>
      </c>
      <c r="O23" s="8">
        <v>3500</v>
      </c>
      <c r="P23" s="11">
        <v>9700</v>
      </c>
    </row>
    <row r="24" spans="1:16" ht="12.75" customHeight="1" x14ac:dyDescent="0.2">
      <c r="A24" s="6" t="s">
        <v>80</v>
      </c>
      <c r="B24" s="6" t="s">
        <v>81</v>
      </c>
      <c r="C24" s="6" t="s">
        <v>82</v>
      </c>
      <c r="D24" s="6" t="s">
        <v>83</v>
      </c>
      <c r="E24" s="7">
        <v>45692</v>
      </c>
      <c r="F24" s="8">
        <v>100000</v>
      </c>
      <c r="G24" s="8">
        <v>295.91000000000003</v>
      </c>
      <c r="H24" s="8">
        <v>100295.91</v>
      </c>
      <c r="I24" s="9">
        <v>1111.17</v>
      </c>
      <c r="J24" s="9">
        <v>295.91000000000003</v>
      </c>
      <c r="K24" s="8">
        <v>1407.08</v>
      </c>
      <c r="L24" s="10">
        <v>113</v>
      </c>
      <c r="M24" s="8">
        <v>1111.17</v>
      </c>
      <c r="N24" s="7">
        <v>46057</v>
      </c>
      <c r="O24" s="8">
        <v>11928</v>
      </c>
      <c r="P24" s="11">
        <v>1111.17</v>
      </c>
    </row>
    <row r="25" spans="1:16" ht="12.75" customHeight="1" x14ac:dyDescent="0.2">
      <c r="A25" s="6" t="s">
        <v>84</v>
      </c>
      <c r="B25" s="6" t="s">
        <v>85</v>
      </c>
      <c r="C25" s="6" t="s">
        <v>86</v>
      </c>
      <c r="D25" s="6" t="s">
        <v>35</v>
      </c>
      <c r="E25" s="7">
        <v>45840</v>
      </c>
      <c r="F25" s="8">
        <v>30000</v>
      </c>
      <c r="G25" s="8">
        <v>10800</v>
      </c>
      <c r="H25" s="8">
        <v>40800</v>
      </c>
      <c r="I25" s="9">
        <v>17850</v>
      </c>
      <c r="J25" s="9">
        <v>5400</v>
      </c>
      <c r="K25" s="8">
        <v>23250</v>
      </c>
      <c r="L25" s="10">
        <v>238</v>
      </c>
      <c r="M25" s="8">
        <v>23250</v>
      </c>
      <c r="N25" s="7">
        <v>45932</v>
      </c>
      <c r="O25" s="8">
        <v>6800</v>
      </c>
      <c r="P25" s="11">
        <v>23250</v>
      </c>
    </row>
    <row r="26" spans="1:16" ht="12.75" customHeight="1" x14ac:dyDescent="0.2">
      <c r="A26" s="6" t="s">
        <v>87</v>
      </c>
      <c r="B26" s="6" t="s">
        <v>88</v>
      </c>
      <c r="C26" s="6" t="s">
        <v>89</v>
      </c>
      <c r="D26" s="6" t="s">
        <v>42</v>
      </c>
      <c r="E26" s="7">
        <v>45938</v>
      </c>
      <c r="F26" s="8">
        <v>20000</v>
      </c>
      <c r="G26" s="8">
        <v>8000</v>
      </c>
      <c r="H26" s="8">
        <v>28000</v>
      </c>
      <c r="I26" s="9">
        <v>9500</v>
      </c>
      <c r="J26" s="9">
        <v>3000</v>
      </c>
      <c r="K26" s="8">
        <v>12500</v>
      </c>
      <c r="L26" s="10">
        <v>197</v>
      </c>
      <c r="M26" s="8">
        <v>12500</v>
      </c>
      <c r="N26" s="7">
        <v>45973</v>
      </c>
      <c r="O26" s="8">
        <v>3500</v>
      </c>
      <c r="P26" s="11">
        <v>12500</v>
      </c>
    </row>
    <row r="27" spans="1:16" ht="12.75" customHeight="1" x14ac:dyDescent="0.2">
      <c r="A27" s="6" t="s">
        <v>90</v>
      </c>
      <c r="B27" s="6" t="s">
        <v>91</v>
      </c>
      <c r="C27" s="6" t="s">
        <v>92</v>
      </c>
      <c r="D27" s="6" t="s">
        <v>42</v>
      </c>
      <c r="E27" s="7">
        <v>45982</v>
      </c>
      <c r="F27" s="8">
        <v>20000</v>
      </c>
      <c r="G27" s="8">
        <v>8000</v>
      </c>
      <c r="H27" s="8">
        <v>28000</v>
      </c>
      <c r="I27" s="9">
        <v>12000</v>
      </c>
      <c r="J27" s="9">
        <v>4000</v>
      </c>
      <c r="K27" s="8">
        <v>16000</v>
      </c>
      <c r="L27" s="10">
        <v>160</v>
      </c>
      <c r="M27" s="8">
        <v>16000</v>
      </c>
      <c r="N27" s="7">
        <v>46010</v>
      </c>
      <c r="O27" s="8">
        <v>3500</v>
      </c>
      <c r="P27" s="11">
        <v>16000</v>
      </c>
    </row>
    <row r="28" spans="1:16" ht="12.75" customHeight="1" x14ac:dyDescent="0.2">
      <c r="A28" s="6" t="s">
        <v>93</v>
      </c>
      <c r="B28" s="6" t="s">
        <v>94</v>
      </c>
      <c r="C28" s="6" t="s">
        <v>95</v>
      </c>
      <c r="D28" s="6" t="s">
        <v>31</v>
      </c>
      <c r="E28" s="7">
        <v>45988</v>
      </c>
      <c r="F28" s="8">
        <v>15000</v>
      </c>
      <c r="G28" s="8">
        <v>4500</v>
      </c>
      <c r="H28" s="8">
        <v>19500</v>
      </c>
      <c r="I28" s="9">
        <v>9250</v>
      </c>
      <c r="J28" s="9">
        <v>2250</v>
      </c>
      <c r="K28" s="8">
        <v>11500</v>
      </c>
      <c r="L28" s="10">
        <v>161</v>
      </c>
      <c r="M28" s="8">
        <v>11500</v>
      </c>
      <c r="N28" s="7">
        <v>46009</v>
      </c>
      <c r="O28" s="8">
        <v>3250</v>
      </c>
      <c r="P28" s="11">
        <v>11500</v>
      </c>
    </row>
    <row r="29" spans="1:16" ht="12.75" customHeight="1" x14ac:dyDescent="0.2">
      <c r="A29" s="6" t="s">
        <v>96</v>
      </c>
      <c r="B29" s="6" t="s">
        <v>97</v>
      </c>
      <c r="C29" s="6" t="s">
        <v>98</v>
      </c>
      <c r="D29" s="6" t="s">
        <v>42</v>
      </c>
      <c r="E29" s="7">
        <v>46080</v>
      </c>
      <c r="F29" s="8">
        <v>20000</v>
      </c>
      <c r="G29" s="8">
        <v>8000</v>
      </c>
      <c r="H29" s="8">
        <v>28000</v>
      </c>
      <c r="I29" s="9">
        <v>7500</v>
      </c>
      <c r="J29" s="9">
        <v>2050</v>
      </c>
      <c r="K29" s="8">
        <v>9550</v>
      </c>
      <c r="L29" s="10">
        <v>48</v>
      </c>
      <c r="M29" s="8">
        <v>9550</v>
      </c>
      <c r="N29" s="7">
        <v>46122</v>
      </c>
      <c r="O29" s="8">
        <v>3500</v>
      </c>
      <c r="P29" s="11">
        <v>9550</v>
      </c>
    </row>
    <row r="30" spans="1:16" ht="12.75" customHeight="1" x14ac:dyDescent="0.2">
      <c r="A30" s="6" t="s">
        <v>99</v>
      </c>
      <c r="B30" s="6" t="s">
        <v>100</v>
      </c>
      <c r="C30" s="6" t="s">
        <v>101</v>
      </c>
      <c r="D30" s="6" t="s">
        <v>23</v>
      </c>
      <c r="E30" s="7">
        <v>46092</v>
      </c>
      <c r="F30" s="8">
        <v>10000</v>
      </c>
      <c r="G30" s="8">
        <v>2000</v>
      </c>
      <c r="H30" s="8">
        <v>12000</v>
      </c>
      <c r="I30" s="9">
        <v>4500</v>
      </c>
      <c r="J30" s="9">
        <v>500</v>
      </c>
      <c r="K30" s="8">
        <v>5000</v>
      </c>
      <c r="L30" s="10">
        <v>57</v>
      </c>
      <c r="M30" s="8">
        <v>5000</v>
      </c>
      <c r="N30" s="7">
        <v>46113</v>
      </c>
      <c r="O30" s="8">
        <v>3000</v>
      </c>
      <c r="P30" s="11">
        <v>5000</v>
      </c>
    </row>
    <row r="31" spans="1:16" ht="12.75" customHeight="1" x14ac:dyDescent="0.2">
      <c r="A31" s="6" t="s">
        <v>102</v>
      </c>
      <c r="B31" s="6" t="s">
        <v>103</v>
      </c>
      <c r="C31" s="6" t="s">
        <v>104</v>
      </c>
      <c r="D31" s="6" t="s">
        <v>31</v>
      </c>
      <c r="E31" s="7">
        <v>46114</v>
      </c>
      <c r="F31" s="8">
        <v>12000</v>
      </c>
      <c r="G31" s="8">
        <v>3600</v>
      </c>
      <c r="H31" s="8">
        <v>15600</v>
      </c>
      <c r="I31" s="9">
        <v>6300</v>
      </c>
      <c r="J31" s="9">
        <v>1800</v>
      </c>
      <c r="K31" s="8">
        <v>8100</v>
      </c>
      <c r="L31" s="10">
        <v>35</v>
      </c>
      <c r="M31" s="8">
        <v>8100</v>
      </c>
      <c r="N31" s="7">
        <v>46135</v>
      </c>
      <c r="O31" s="8">
        <v>2600</v>
      </c>
      <c r="P31" s="11">
        <v>8100</v>
      </c>
    </row>
    <row r="32" spans="1:16" ht="12.75" customHeight="1" x14ac:dyDescent="0.2">
      <c r="A32" s="12" t="s">
        <v>105</v>
      </c>
      <c r="B32" s="12" t="s">
        <v>106</v>
      </c>
      <c r="C32" s="12" t="s">
        <v>107</v>
      </c>
      <c r="D32" s="12" t="s">
        <v>23</v>
      </c>
      <c r="E32" s="13">
        <v>46127</v>
      </c>
      <c r="F32" s="14">
        <v>10000</v>
      </c>
      <c r="G32" s="14">
        <v>3000</v>
      </c>
      <c r="H32" s="14">
        <v>13000</v>
      </c>
      <c r="I32" s="15">
        <v>6666</v>
      </c>
      <c r="J32" s="15">
        <v>1994</v>
      </c>
      <c r="K32" s="14">
        <v>8660</v>
      </c>
      <c r="L32" s="16">
        <v>22</v>
      </c>
      <c r="M32" s="14">
        <v>8660</v>
      </c>
      <c r="N32" s="13">
        <v>46148</v>
      </c>
      <c r="O32" s="14">
        <v>2167</v>
      </c>
      <c r="P32" s="17">
        <v>8660</v>
      </c>
    </row>
    <row r="33" spans="1:16" ht="12.75" customHeight="1" x14ac:dyDescent="0.2">
      <c r="A33" s="12" t="s">
        <v>108</v>
      </c>
      <c r="B33" s="12" t="s">
        <v>109</v>
      </c>
      <c r="C33" s="12" t="s">
        <v>110</v>
      </c>
      <c r="D33" s="12" t="s">
        <v>23</v>
      </c>
      <c r="E33" s="13">
        <v>46127</v>
      </c>
      <c r="F33" s="14">
        <v>10000</v>
      </c>
      <c r="G33" s="14">
        <v>2000</v>
      </c>
      <c r="H33" s="14">
        <v>12000</v>
      </c>
      <c r="I33" s="15">
        <v>4300</v>
      </c>
      <c r="J33" s="15">
        <v>500</v>
      </c>
      <c r="K33" s="14">
        <v>4800</v>
      </c>
      <c r="L33" s="16">
        <v>22</v>
      </c>
      <c r="M33" s="14">
        <v>4800</v>
      </c>
      <c r="N33" s="13">
        <v>46148</v>
      </c>
      <c r="O33" s="14">
        <v>3000</v>
      </c>
      <c r="P33" s="17">
        <v>4800</v>
      </c>
    </row>
    <row r="34" spans="1:16" ht="12.75" customHeight="1" x14ac:dyDescent="0.2">
      <c r="A34" s="12" t="s">
        <v>111</v>
      </c>
      <c r="B34" s="12" t="s">
        <v>112</v>
      </c>
      <c r="C34" s="12" t="s">
        <v>113</v>
      </c>
      <c r="D34" s="12" t="s">
        <v>23</v>
      </c>
      <c r="E34" s="13">
        <v>46133</v>
      </c>
      <c r="F34" s="14">
        <v>10000</v>
      </c>
      <c r="G34" s="14">
        <v>3000</v>
      </c>
      <c r="H34" s="14">
        <v>13000</v>
      </c>
      <c r="I34" s="15">
        <v>3332</v>
      </c>
      <c r="J34" s="15">
        <v>988</v>
      </c>
      <c r="K34" s="14">
        <v>4320</v>
      </c>
      <c r="L34" s="16">
        <v>2</v>
      </c>
      <c r="M34" s="14">
        <v>2155</v>
      </c>
      <c r="N34" s="13">
        <v>46168</v>
      </c>
      <c r="O34" s="14">
        <v>2167</v>
      </c>
      <c r="P34" s="17">
        <v>2155</v>
      </c>
    </row>
    <row r="35" spans="1:16" ht="12.75" customHeight="1" x14ac:dyDescent="0.2">
      <c r="A35" s="12" t="s">
        <v>114</v>
      </c>
      <c r="B35" s="12" t="s">
        <v>115</v>
      </c>
      <c r="C35" s="12" t="s">
        <v>116</v>
      </c>
      <c r="D35" s="12" t="s">
        <v>23</v>
      </c>
      <c r="E35" s="13">
        <v>46140</v>
      </c>
      <c r="F35" s="14">
        <v>10000</v>
      </c>
      <c r="G35" s="14">
        <v>3000</v>
      </c>
      <c r="H35" s="14">
        <v>13000</v>
      </c>
      <c r="I35" s="15">
        <v>4245</v>
      </c>
      <c r="J35" s="15">
        <v>1000</v>
      </c>
      <c r="K35" s="14">
        <v>5245</v>
      </c>
      <c r="L35" s="16">
        <v>2</v>
      </c>
      <c r="M35" s="14">
        <v>913</v>
      </c>
      <c r="N35" s="13">
        <v>46168</v>
      </c>
      <c r="O35" s="14">
        <v>2167</v>
      </c>
      <c r="P35" s="17">
        <v>913</v>
      </c>
    </row>
    <row r="36" spans="1:16" ht="12.75" customHeight="1" x14ac:dyDescent="0.2">
      <c r="A36" s="12" t="s">
        <v>117</v>
      </c>
      <c r="B36" s="12" t="s">
        <v>118</v>
      </c>
      <c r="C36" s="12" t="s">
        <v>119</v>
      </c>
      <c r="D36" s="12" t="s">
        <v>23</v>
      </c>
      <c r="E36" s="13">
        <v>46140</v>
      </c>
      <c r="F36" s="14">
        <v>10000</v>
      </c>
      <c r="G36" s="14">
        <v>3000</v>
      </c>
      <c r="H36" s="14">
        <v>13000</v>
      </c>
      <c r="I36" s="15">
        <v>5990</v>
      </c>
      <c r="J36" s="15">
        <v>1500</v>
      </c>
      <c r="K36" s="14">
        <v>7490</v>
      </c>
      <c r="L36" s="16">
        <v>9</v>
      </c>
      <c r="M36" s="14">
        <v>3158</v>
      </c>
      <c r="N36" s="13">
        <v>46161</v>
      </c>
      <c r="O36" s="14">
        <v>2167</v>
      </c>
      <c r="P36" s="17">
        <v>3158</v>
      </c>
    </row>
    <row r="37" spans="1:16" ht="12.75" customHeight="1" x14ac:dyDescent="0.2">
      <c r="A37" s="12" t="s">
        <v>120</v>
      </c>
      <c r="B37" s="12" t="s">
        <v>121</v>
      </c>
      <c r="C37" s="12" t="s">
        <v>122</v>
      </c>
      <c r="D37" s="12" t="s">
        <v>23</v>
      </c>
      <c r="E37" s="13">
        <v>46140</v>
      </c>
      <c r="F37" s="14">
        <v>10000</v>
      </c>
      <c r="G37" s="14">
        <v>3000</v>
      </c>
      <c r="H37" s="14">
        <v>13000</v>
      </c>
      <c r="I37" s="15">
        <v>4220</v>
      </c>
      <c r="J37" s="15">
        <v>1000</v>
      </c>
      <c r="K37" s="14">
        <v>5220</v>
      </c>
      <c r="L37" s="16">
        <v>2</v>
      </c>
      <c r="M37" s="14">
        <v>888</v>
      </c>
      <c r="N37" s="13">
        <v>46168</v>
      </c>
      <c r="O37" s="14">
        <v>2167</v>
      </c>
      <c r="P37" s="17">
        <v>888</v>
      </c>
    </row>
    <row r="38" spans="1:16" ht="12.75" customHeight="1" x14ac:dyDescent="0.2">
      <c r="A38" s="12" t="s">
        <v>123</v>
      </c>
      <c r="B38" s="12" t="s">
        <v>124</v>
      </c>
      <c r="C38" s="12" t="s">
        <v>125</v>
      </c>
      <c r="D38" s="12" t="s">
        <v>23</v>
      </c>
      <c r="E38" s="13">
        <v>46142</v>
      </c>
      <c r="F38" s="14">
        <v>10000</v>
      </c>
      <c r="G38" s="14">
        <v>3000</v>
      </c>
      <c r="H38" s="14">
        <v>13000</v>
      </c>
      <c r="I38" s="15">
        <v>5880</v>
      </c>
      <c r="J38" s="15">
        <v>1500</v>
      </c>
      <c r="K38" s="14">
        <v>7380</v>
      </c>
      <c r="L38" s="16">
        <v>7</v>
      </c>
      <c r="M38" s="14">
        <v>3048</v>
      </c>
      <c r="N38" s="13">
        <v>46163</v>
      </c>
      <c r="O38" s="14">
        <v>2167</v>
      </c>
      <c r="P38" s="17">
        <v>3048</v>
      </c>
    </row>
    <row r="39" spans="1:16" ht="12.75" customHeight="1" x14ac:dyDescent="0.2">
      <c r="A39" s="12" t="s">
        <v>126</v>
      </c>
      <c r="B39" s="12" t="s">
        <v>127</v>
      </c>
      <c r="C39" s="12" t="s">
        <v>128</v>
      </c>
      <c r="D39" s="12" t="s">
        <v>23</v>
      </c>
      <c r="E39" s="13">
        <v>46148</v>
      </c>
      <c r="F39" s="14">
        <v>10000</v>
      </c>
      <c r="G39" s="14">
        <v>3000</v>
      </c>
      <c r="H39" s="14">
        <v>13000</v>
      </c>
      <c r="I39" s="15">
        <v>6666</v>
      </c>
      <c r="J39" s="15">
        <v>1994</v>
      </c>
      <c r="K39" s="14">
        <v>8660</v>
      </c>
      <c r="L39" s="16">
        <v>1</v>
      </c>
      <c r="M39" s="14">
        <v>2161</v>
      </c>
      <c r="N39" s="13">
        <v>46169</v>
      </c>
      <c r="O39" s="14">
        <v>2167</v>
      </c>
      <c r="P39" s="17">
        <v>2161</v>
      </c>
    </row>
    <row r="40" spans="1:16" ht="12.75" customHeight="1" x14ac:dyDescent="0.2">
      <c r="A40" s="12" t="s">
        <v>129</v>
      </c>
      <c r="B40" s="12" t="s">
        <v>130</v>
      </c>
      <c r="C40" s="12" t="s">
        <v>131</v>
      </c>
      <c r="D40" s="12" t="s">
        <v>23</v>
      </c>
      <c r="E40" s="13">
        <v>46154</v>
      </c>
      <c r="F40" s="14">
        <v>10000</v>
      </c>
      <c r="G40" s="14">
        <v>3000</v>
      </c>
      <c r="H40" s="14">
        <v>13000</v>
      </c>
      <c r="I40" s="15">
        <v>8333</v>
      </c>
      <c r="J40" s="15">
        <v>2497</v>
      </c>
      <c r="K40" s="14">
        <v>10830</v>
      </c>
      <c r="L40" s="16">
        <v>2</v>
      </c>
      <c r="M40" s="14">
        <v>2164</v>
      </c>
      <c r="N40" s="13">
        <v>46168</v>
      </c>
      <c r="O40" s="14">
        <v>2167</v>
      </c>
      <c r="P40" s="17">
        <v>2164</v>
      </c>
    </row>
    <row r="41" spans="1:16" ht="12.75" customHeight="1" x14ac:dyDescent="0.2">
      <c r="A41" s="18"/>
      <c r="B41" s="19">
        <v>18</v>
      </c>
      <c r="C41" s="18"/>
      <c r="D41" s="18"/>
      <c r="E41" s="18"/>
      <c r="F41" s="8">
        <v>337000</v>
      </c>
      <c r="G41" s="8">
        <v>79195.91</v>
      </c>
      <c r="H41" s="8">
        <v>416195.91</v>
      </c>
      <c r="I41" s="9">
        <v>125143.17</v>
      </c>
      <c r="J41" s="9">
        <v>34468.910000000003</v>
      </c>
      <c r="K41" s="8">
        <v>159612.07999999999</v>
      </c>
      <c r="L41" s="18"/>
      <c r="M41" s="8">
        <v>124658.17</v>
      </c>
      <c r="N41" s="18"/>
      <c r="O41" s="18"/>
      <c r="P41" s="20">
        <v>124658.17</v>
      </c>
    </row>
    <row r="42" spans="1:16" ht="12.75" customHeight="1" x14ac:dyDescent="0.2">
      <c r="A42" s="5" t="s">
        <v>18</v>
      </c>
      <c r="B42" s="5" t="s">
        <v>132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4"/>
    </row>
    <row r="43" spans="1:16" ht="12.75" customHeight="1" x14ac:dyDescent="0.2">
      <c r="A43" s="6" t="s">
        <v>133</v>
      </c>
      <c r="B43" s="6" t="s">
        <v>134</v>
      </c>
      <c r="C43" s="6" t="s">
        <v>135</v>
      </c>
      <c r="D43" s="6" t="s">
        <v>136</v>
      </c>
      <c r="E43" s="7">
        <v>46119</v>
      </c>
      <c r="F43" s="8">
        <v>5000</v>
      </c>
      <c r="G43" s="8">
        <v>1000</v>
      </c>
      <c r="H43" s="8">
        <v>6000</v>
      </c>
      <c r="I43" s="9">
        <v>950</v>
      </c>
      <c r="J43" s="9">
        <v>0</v>
      </c>
      <c r="K43" s="8">
        <v>950</v>
      </c>
      <c r="L43" s="10">
        <v>23</v>
      </c>
      <c r="M43" s="8">
        <v>950</v>
      </c>
      <c r="N43" s="7">
        <v>46147</v>
      </c>
      <c r="O43" s="8">
        <v>1500</v>
      </c>
      <c r="P43" s="11">
        <v>950</v>
      </c>
    </row>
    <row r="44" spans="1:16" ht="12.75" customHeight="1" x14ac:dyDescent="0.2">
      <c r="A44" s="6" t="s">
        <v>137</v>
      </c>
      <c r="B44" s="6" t="s">
        <v>138</v>
      </c>
      <c r="C44" s="6" t="s">
        <v>139</v>
      </c>
      <c r="D44" s="6" t="s">
        <v>136</v>
      </c>
      <c r="E44" s="7">
        <v>46125</v>
      </c>
      <c r="F44" s="8">
        <v>5000</v>
      </c>
      <c r="G44" s="8">
        <v>1000</v>
      </c>
      <c r="H44" s="8">
        <v>6000</v>
      </c>
      <c r="I44" s="9">
        <v>500</v>
      </c>
      <c r="J44" s="9">
        <v>0</v>
      </c>
      <c r="K44" s="8">
        <v>500</v>
      </c>
      <c r="L44" s="10">
        <v>17</v>
      </c>
      <c r="M44" s="8">
        <v>500</v>
      </c>
      <c r="N44" s="7">
        <v>46153</v>
      </c>
      <c r="O44" s="8">
        <v>1500</v>
      </c>
      <c r="P44" s="11">
        <v>500</v>
      </c>
    </row>
    <row r="45" spans="1:16" ht="12.75" customHeight="1" x14ac:dyDescent="0.2">
      <c r="A45" s="12" t="s">
        <v>140</v>
      </c>
      <c r="B45" s="12" t="s">
        <v>141</v>
      </c>
      <c r="C45" s="12" t="s">
        <v>142</v>
      </c>
      <c r="D45" s="12" t="s">
        <v>42</v>
      </c>
      <c r="E45" s="13">
        <v>46134</v>
      </c>
      <c r="F45" s="14">
        <v>20000</v>
      </c>
      <c r="G45" s="14">
        <v>6000</v>
      </c>
      <c r="H45" s="14">
        <v>26000</v>
      </c>
      <c r="I45" s="15">
        <v>6600</v>
      </c>
      <c r="J45" s="15">
        <v>1000</v>
      </c>
      <c r="K45" s="14">
        <v>7600</v>
      </c>
      <c r="L45" s="16">
        <v>1</v>
      </c>
      <c r="M45" s="14">
        <v>3265</v>
      </c>
      <c r="N45" s="13">
        <v>46169</v>
      </c>
      <c r="O45" s="14">
        <v>4333</v>
      </c>
      <c r="P45" s="17">
        <v>3265</v>
      </c>
    </row>
    <row r="46" spans="1:16" ht="12.75" customHeight="1" x14ac:dyDescent="0.2">
      <c r="A46" s="12" t="s">
        <v>143</v>
      </c>
      <c r="B46" s="12" t="s">
        <v>144</v>
      </c>
      <c r="C46" s="12" t="s">
        <v>145</v>
      </c>
      <c r="D46" s="12" t="s">
        <v>23</v>
      </c>
      <c r="E46" s="13">
        <v>46140</v>
      </c>
      <c r="F46" s="14">
        <v>10000</v>
      </c>
      <c r="G46" s="14">
        <v>3000</v>
      </c>
      <c r="H46" s="14">
        <v>13000</v>
      </c>
      <c r="I46" s="15">
        <v>4999</v>
      </c>
      <c r="J46" s="15">
        <v>1500</v>
      </c>
      <c r="K46" s="14">
        <v>6499</v>
      </c>
      <c r="L46" s="16">
        <v>2</v>
      </c>
      <c r="M46" s="14">
        <v>2167</v>
      </c>
      <c r="N46" s="13">
        <v>46168</v>
      </c>
      <c r="O46" s="14">
        <v>2167</v>
      </c>
      <c r="P46" s="17">
        <v>2167</v>
      </c>
    </row>
    <row r="47" spans="1:16" ht="12.75" customHeight="1" x14ac:dyDescent="0.2">
      <c r="A47" s="12" t="s">
        <v>146</v>
      </c>
      <c r="B47" s="12" t="s">
        <v>147</v>
      </c>
      <c r="C47" s="12" t="s">
        <v>148</v>
      </c>
      <c r="D47" s="12" t="s">
        <v>23</v>
      </c>
      <c r="E47" s="13">
        <v>46141</v>
      </c>
      <c r="F47" s="14">
        <v>10000</v>
      </c>
      <c r="G47" s="14">
        <v>2000</v>
      </c>
      <c r="H47" s="14">
        <v>12000</v>
      </c>
      <c r="I47" s="15">
        <v>1100</v>
      </c>
      <c r="J47" s="15">
        <v>0</v>
      </c>
      <c r="K47" s="14">
        <v>1100</v>
      </c>
      <c r="L47" s="16">
        <v>1</v>
      </c>
      <c r="M47" s="14">
        <v>1100</v>
      </c>
      <c r="N47" s="13">
        <v>46169</v>
      </c>
      <c r="O47" s="14">
        <v>3000</v>
      </c>
      <c r="P47" s="17">
        <v>1100</v>
      </c>
    </row>
    <row r="48" spans="1:16" ht="12.75" customHeight="1" x14ac:dyDescent="0.2">
      <c r="A48" s="12" t="s">
        <v>149</v>
      </c>
      <c r="B48" s="12" t="s">
        <v>150</v>
      </c>
      <c r="C48" s="12" t="s">
        <v>151</v>
      </c>
      <c r="D48" s="12" t="s">
        <v>23</v>
      </c>
      <c r="E48" s="13">
        <v>46146</v>
      </c>
      <c r="F48" s="14">
        <v>7000</v>
      </c>
      <c r="G48" s="14">
        <v>1995</v>
      </c>
      <c r="H48" s="14">
        <v>8995</v>
      </c>
      <c r="I48" s="15">
        <v>1767</v>
      </c>
      <c r="J48" s="15">
        <v>498</v>
      </c>
      <c r="K48" s="14">
        <v>2265</v>
      </c>
      <c r="L48" s="16">
        <v>3</v>
      </c>
      <c r="M48" s="14">
        <v>17</v>
      </c>
      <c r="N48" s="13">
        <v>46167</v>
      </c>
      <c r="O48" s="14">
        <v>2249</v>
      </c>
      <c r="P48" s="17">
        <v>17</v>
      </c>
    </row>
    <row r="49" spans="1:16" ht="12.75" customHeight="1" x14ac:dyDescent="0.2">
      <c r="A49" s="12" t="s">
        <v>152</v>
      </c>
      <c r="B49" s="12" t="s">
        <v>153</v>
      </c>
      <c r="C49" s="12" t="s">
        <v>154</v>
      </c>
      <c r="D49" s="12" t="s">
        <v>136</v>
      </c>
      <c r="E49" s="13">
        <v>46146</v>
      </c>
      <c r="F49" s="14">
        <v>5000</v>
      </c>
      <c r="G49" s="14">
        <v>1000</v>
      </c>
      <c r="H49" s="14">
        <v>6000</v>
      </c>
      <c r="I49" s="15">
        <v>2500</v>
      </c>
      <c r="J49" s="15">
        <v>500</v>
      </c>
      <c r="K49" s="14">
        <v>3000</v>
      </c>
      <c r="L49" s="16">
        <v>3</v>
      </c>
      <c r="M49" s="14">
        <v>1500</v>
      </c>
      <c r="N49" s="13">
        <v>46167</v>
      </c>
      <c r="O49" s="14">
        <v>1500</v>
      </c>
      <c r="P49" s="17">
        <v>1500</v>
      </c>
    </row>
    <row r="50" spans="1:16" ht="12.75" customHeight="1" x14ac:dyDescent="0.2">
      <c r="A50" s="12" t="s">
        <v>155</v>
      </c>
      <c r="B50" s="12" t="s">
        <v>156</v>
      </c>
      <c r="C50" s="12" t="s">
        <v>157</v>
      </c>
      <c r="D50" s="12" t="s">
        <v>136</v>
      </c>
      <c r="E50" s="13">
        <v>46147</v>
      </c>
      <c r="F50" s="14">
        <v>5000</v>
      </c>
      <c r="G50" s="14">
        <v>1000</v>
      </c>
      <c r="H50" s="14">
        <v>6000</v>
      </c>
      <c r="I50" s="15">
        <v>2500</v>
      </c>
      <c r="J50" s="15">
        <v>500</v>
      </c>
      <c r="K50" s="14">
        <v>3000</v>
      </c>
      <c r="L50" s="16">
        <v>2</v>
      </c>
      <c r="M50" s="14">
        <v>1500</v>
      </c>
      <c r="N50" s="13">
        <v>46168</v>
      </c>
      <c r="O50" s="14">
        <v>1500</v>
      </c>
      <c r="P50" s="17">
        <v>1500</v>
      </c>
    </row>
    <row r="51" spans="1:16" ht="12.75" customHeight="1" x14ac:dyDescent="0.2">
      <c r="A51" s="12" t="s">
        <v>158</v>
      </c>
      <c r="B51" s="12" t="s">
        <v>159</v>
      </c>
      <c r="C51" s="12" t="s">
        <v>160</v>
      </c>
      <c r="D51" s="12" t="s">
        <v>23</v>
      </c>
      <c r="E51" s="13">
        <v>46147</v>
      </c>
      <c r="F51" s="14">
        <v>7000</v>
      </c>
      <c r="G51" s="14">
        <v>1995</v>
      </c>
      <c r="H51" s="14">
        <v>8995</v>
      </c>
      <c r="I51" s="15">
        <v>3500</v>
      </c>
      <c r="J51" s="15">
        <v>995</v>
      </c>
      <c r="K51" s="14">
        <v>4495</v>
      </c>
      <c r="L51" s="16">
        <v>2</v>
      </c>
      <c r="M51" s="14">
        <v>2247</v>
      </c>
      <c r="N51" s="13">
        <v>46168</v>
      </c>
      <c r="O51" s="14">
        <v>2249</v>
      </c>
      <c r="P51" s="17">
        <v>2247</v>
      </c>
    </row>
    <row r="52" spans="1:16" ht="12.75" customHeight="1" x14ac:dyDescent="0.2">
      <c r="A52" s="12" t="s">
        <v>161</v>
      </c>
      <c r="B52" s="12" t="s">
        <v>162</v>
      </c>
      <c r="C52" s="12" t="s">
        <v>163</v>
      </c>
      <c r="D52" s="12" t="s">
        <v>23</v>
      </c>
      <c r="E52" s="13">
        <v>46147</v>
      </c>
      <c r="F52" s="14">
        <v>10000</v>
      </c>
      <c r="G52" s="14">
        <v>3000</v>
      </c>
      <c r="H52" s="14">
        <v>13000</v>
      </c>
      <c r="I52" s="15">
        <v>6666</v>
      </c>
      <c r="J52" s="15">
        <v>2000</v>
      </c>
      <c r="K52" s="14">
        <v>8666</v>
      </c>
      <c r="L52" s="16">
        <v>2</v>
      </c>
      <c r="M52" s="14">
        <v>2167</v>
      </c>
      <c r="N52" s="13">
        <v>46168</v>
      </c>
      <c r="O52" s="14">
        <v>2167</v>
      </c>
      <c r="P52" s="17">
        <v>2167</v>
      </c>
    </row>
    <row r="53" spans="1:16" ht="12.75" customHeight="1" x14ac:dyDescent="0.2">
      <c r="A53" s="12" t="s">
        <v>164</v>
      </c>
      <c r="B53" s="12" t="s">
        <v>165</v>
      </c>
      <c r="C53" s="12" t="s">
        <v>166</v>
      </c>
      <c r="D53" s="12" t="s">
        <v>23</v>
      </c>
      <c r="E53" s="13">
        <v>46147</v>
      </c>
      <c r="F53" s="14">
        <v>10000</v>
      </c>
      <c r="G53" s="14">
        <v>2000</v>
      </c>
      <c r="H53" s="14">
        <v>12000</v>
      </c>
      <c r="I53" s="15">
        <v>5000</v>
      </c>
      <c r="J53" s="15">
        <v>1000</v>
      </c>
      <c r="K53" s="14">
        <v>6000</v>
      </c>
      <c r="L53" s="16">
        <v>2</v>
      </c>
      <c r="M53" s="14">
        <v>3000</v>
      </c>
      <c r="N53" s="13">
        <v>46168</v>
      </c>
      <c r="O53" s="14">
        <v>3000</v>
      </c>
      <c r="P53" s="17">
        <v>3000</v>
      </c>
    </row>
    <row r="54" spans="1:16" ht="12.75" customHeight="1" x14ac:dyDescent="0.2">
      <c r="A54" s="12" t="s">
        <v>167</v>
      </c>
      <c r="B54" s="12" t="s">
        <v>168</v>
      </c>
      <c r="C54" s="12" t="s">
        <v>169</v>
      </c>
      <c r="D54" s="12" t="s">
        <v>136</v>
      </c>
      <c r="E54" s="13">
        <v>46148</v>
      </c>
      <c r="F54" s="14">
        <v>5000</v>
      </c>
      <c r="G54" s="14">
        <v>1000</v>
      </c>
      <c r="H54" s="14">
        <v>6000</v>
      </c>
      <c r="I54" s="15">
        <v>3000</v>
      </c>
      <c r="J54" s="15">
        <v>500</v>
      </c>
      <c r="K54" s="14">
        <v>3500</v>
      </c>
      <c r="L54" s="16">
        <v>8</v>
      </c>
      <c r="M54" s="14">
        <v>2000</v>
      </c>
      <c r="N54" s="13">
        <v>46162</v>
      </c>
      <c r="O54" s="14">
        <v>1500</v>
      </c>
      <c r="P54" s="17">
        <v>2000</v>
      </c>
    </row>
    <row r="55" spans="1:16" ht="12.75" customHeight="1" x14ac:dyDescent="0.2">
      <c r="A55" s="12" t="s">
        <v>170</v>
      </c>
      <c r="B55" s="12" t="s">
        <v>171</v>
      </c>
      <c r="C55" s="12" t="s">
        <v>172</v>
      </c>
      <c r="D55" s="12" t="s">
        <v>136</v>
      </c>
      <c r="E55" s="13">
        <v>46154</v>
      </c>
      <c r="F55" s="14">
        <v>5000</v>
      </c>
      <c r="G55" s="14">
        <v>1000</v>
      </c>
      <c r="H55" s="14">
        <v>6000</v>
      </c>
      <c r="I55" s="15">
        <v>3750</v>
      </c>
      <c r="J55" s="15">
        <v>750</v>
      </c>
      <c r="K55" s="14">
        <v>4500</v>
      </c>
      <c r="L55" s="16">
        <v>2</v>
      </c>
      <c r="M55" s="14">
        <v>1500</v>
      </c>
      <c r="N55" s="13">
        <v>46168</v>
      </c>
      <c r="O55" s="14">
        <v>1500</v>
      </c>
      <c r="P55" s="17">
        <v>1500</v>
      </c>
    </row>
    <row r="56" spans="1:16" ht="12.75" customHeight="1" x14ac:dyDescent="0.2">
      <c r="A56" s="12" t="s">
        <v>173</v>
      </c>
      <c r="B56" s="12" t="s">
        <v>174</v>
      </c>
      <c r="C56" s="12" t="s">
        <v>175</v>
      </c>
      <c r="D56" s="12" t="s">
        <v>136</v>
      </c>
      <c r="E56" s="13">
        <v>46155</v>
      </c>
      <c r="F56" s="14">
        <v>5000</v>
      </c>
      <c r="G56" s="14">
        <v>1000</v>
      </c>
      <c r="H56" s="14">
        <v>6000</v>
      </c>
      <c r="I56" s="15">
        <v>3750</v>
      </c>
      <c r="J56" s="15">
        <v>750</v>
      </c>
      <c r="K56" s="14">
        <v>4500</v>
      </c>
      <c r="L56" s="16">
        <v>1</v>
      </c>
      <c r="M56" s="14">
        <v>1500</v>
      </c>
      <c r="N56" s="13">
        <v>46169</v>
      </c>
      <c r="O56" s="14">
        <v>1500</v>
      </c>
      <c r="P56" s="17">
        <v>1500</v>
      </c>
    </row>
    <row r="57" spans="1:16" ht="12.75" customHeight="1" x14ac:dyDescent="0.2">
      <c r="A57" s="12" t="s">
        <v>176</v>
      </c>
      <c r="B57" s="12" t="s">
        <v>177</v>
      </c>
      <c r="C57" s="12" t="s">
        <v>178</v>
      </c>
      <c r="D57" s="12" t="s">
        <v>136</v>
      </c>
      <c r="E57" s="13">
        <v>46155</v>
      </c>
      <c r="F57" s="14">
        <v>5000</v>
      </c>
      <c r="G57" s="14">
        <v>1000</v>
      </c>
      <c r="H57" s="14">
        <v>6000</v>
      </c>
      <c r="I57" s="15">
        <v>3750</v>
      </c>
      <c r="J57" s="15">
        <v>750</v>
      </c>
      <c r="K57" s="14">
        <v>4500</v>
      </c>
      <c r="L57" s="16">
        <v>1</v>
      </c>
      <c r="M57" s="14">
        <v>1500</v>
      </c>
      <c r="N57" s="13">
        <v>46169</v>
      </c>
      <c r="O57" s="14">
        <v>1500</v>
      </c>
      <c r="P57" s="17">
        <v>1500</v>
      </c>
    </row>
    <row r="58" spans="1:16" ht="12.75" customHeight="1" x14ac:dyDescent="0.2">
      <c r="A58" s="12" t="s">
        <v>179</v>
      </c>
      <c r="B58" s="12" t="s">
        <v>180</v>
      </c>
      <c r="C58" s="12" t="s">
        <v>181</v>
      </c>
      <c r="D58" s="12" t="s">
        <v>23</v>
      </c>
      <c r="E58" s="13">
        <v>46155</v>
      </c>
      <c r="F58" s="14">
        <v>10000</v>
      </c>
      <c r="G58" s="14">
        <v>2000</v>
      </c>
      <c r="H58" s="14">
        <v>12000</v>
      </c>
      <c r="I58" s="15">
        <v>7500</v>
      </c>
      <c r="J58" s="15">
        <v>1500</v>
      </c>
      <c r="K58" s="14">
        <v>9000</v>
      </c>
      <c r="L58" s="16">
        <v>1</v>
      </c>
      <c r="M58" s="14">
        <v>3000</v>
      </c>
      <c r="N58" s="13">
        <v>46169</v>
      </c>
      <c r="O58" s="14">
        <v>3000</v>
      </c>
      <c r="P58" s="17">
        <v>3000</v>
      </c>
    </row>
    <row r="59" spans="1:16" ht="12.75" customHeight="1" x14ac:dyDescent="0.2">
      <c r="A59" s="12" t="s">
        <v>182</v>
      </c>
      <c r="B59" s="12" t="s">
        <v>183</v>
      </c>
      <c r="C59" s="12" t="s">
        <v>184</v>
      </c>
      <c r="D59" s="12" t="s">
        <v>136</v>
      </c>
      <c r="E59" s="13">
        <v>46160</v>
      </c>
      <c r="F59" s="14">
        <v>5000</v>
      </c>
      <c r="G59" s="14">
        <v>1000</v>
      </c>
      <c r="H59" s="14">
        <v>6000</v>
      </c>
      <c r="I59" s="15">
        <v>3900</v>
      </c>
      <c r="J59" s="15">
        <v>750</v>
      </c>
      <c r="K59" s="14">
        <v>4650</v>
      </c>
      <c r="L59" s="16">
        <v>3</v>
      </c>
      <c r="M59" s="14">
        <v>150</v>
      </c>
      <c r="N59" s="13">
        <v>46167</v>
      </c>
      <c r="O59" s="14">
        <v>1500</v>
      </c>
      <c r="P59" s="17">
        <v>150</v>
      </c>
    </row>
    <row r="60" spans="1:16" ht="12.75" customHeight="1" x14ac:dyDescent="0.2">
      <c r="A60" s="12" t="s">
        <v>185</v>
      </c>
      <c r="B60" s="12" t="s">
        <v>186</v>
      </c>
      <c r="C60" s="12" t="s">
        <v>187</v>
      </c>
      <c r="D60" s="12" t="s">
        <v>136</v>
      </c>
      <c r="E60" s="13">
        <v>46161</v>
      </c>
      <c r="F60" s="14">
        <v>5000</v>
      </c>
      <c r="G60" s="14">
        <v>1000</v>
      </c>
      <c r="H60" s="14">
        <v>6000</v>
      </c>
      <c r="I60" s="15">
        <v>4250</v>
      </c>
      <c r="J60" s="15">
        <v>750</v>
      </c>
      <c r="K60" s="14">
        <v>5000</v>
      </c>
      <c r="L60" s="16">
        <v>2</v>
      </c>
      <c r="M60" s="14">
        <v>500</v>
      </c>
      <c r="N60" s="13">
        <v>46168</v>
      </c>
      <c r="O60" s="14">
        <v>1500</v>
      </c>
      <c r="P60" s="17">
        <v>500</v>
      </c>
    </row>
    <row r="61" spans="1:16" ht="12.75" customHeight="1" x14ac:dyDescent="0.2">
      <c r="A61" s="18"/>
      <c r="B61" s="19">
        <v>19</v>
      </c>
      <c r="C61" s="18"/>
      <c r="D61" s="18"/>
      <c r="E61" s="18"/>
      <c r="F61" s="8">
        <v>164000</v>
      </c>
      <c r="G61" s="8">
        <v>31990</v>
      </c>
      <c r="H61" s="8">
        <v>195990</v>
      </c>
      <c r="I61" s="9">
        <v>95482</v>
      </c>
      <c r="J61" s="9">
        <v>13743</v>
      </c>
      <c r="K61" s="8">
        <v>109225</v>
      </c>
      <c r="L61" s="18"/>
      <c r="M61" s="8">
        <v>43063</v>
      </c>
      <c r="N61" s="18"/>
      <c r="O61" s="18"/>
      <c r="P61" s="20">
        <f>P43+P44+P45+P46+P47+P48+P49+P50+P51+P52+P53+P54+P55+P56+P57+P58+P59+P60</f>
        <v>28563</v>
      </c>
    </row>
    <row r="62" spans="1:16" ht="12.75" customHeight="1" x14ac:dyDescent="0.2">
      <c r="A62" s="5" t="s">
        <v>18</v>
      </c>
      <c r="B62" s="5" t="s">
        <v>188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4"/>
    </row>
    <row r="63" spans="1:16" ht="12.75" customHeight="1" x14ac:dyDescent="0.2">
      <c r="A63" s="6" t="s">
        <v>189</v>
      </c>
      <c r="B63" s="6" t="s">
        <v>190</v>
      </c>
      <c r="C63" s="6" t="s">
        <v>191</v>
      </c>
      <c r="D63" s="6" t="s">
        <v>23</v>
      </c>
      <c r="E63" s="7">
        <v>45848</v>
      </c>
      <c r="F63" s="8">
        <v>10000</v>
      </c>
      <c r="G63" s="8">
        <v>3000</v>
      </c>
      <c r="H63" s="8">
        <v>13000</v>
      </c>
      <c r="I63" s="9">
        <v>3050</v>
      </c>
      <c r="J63" s="9">
        <v>500</v>
      </c>
      <c r="K63" s="8">
        <v>3550</v>
      </c>
      <c r="L63" s="10">
        <v>287</v>
      </c>
      <c r="M63" s="8">
        <v>3550</v>
      </c>
      <c r="N63" s="7">
        <v>45883</v>
      </c>
      <c r="O63" s="8">
        <v>2167</v>
      </c>
      <c r="P63" s="11">
        <v>3550</v>
      </c>
    </row>
    <row r="64" spans="1:16" ht="12.75" customHeight="1" x14ac:dyDescent="0.2">
      <c r="A64" s="6" t="s">
        <v>192</v>
      </c>
      <c r="B64" s="6" t="s">
        <v>193</v>
      </c>
      <c r="C64" s="6" t="s">
        <v>194</v>
      </c>
      <c r="D64" s="6" t="s">
        <v>23</v>
      </c>
      <c r="E64" s="7">
        <v>45926</v>
      </c>
      <c r="F64" s="8">
        <v>10000</v>
      </c>
      <c r="G64" s="8">
        <v>3000</v>
      </c>
      <c r="H64" s="8">
        <v>13000</v>
      </c>
      <c r="I64" s="9">
        <v>3332</v>
      </c>
      <c r="J64" s="9">
        <v>988</v>
      </c>
      <c r="K64" s="8">
        <v>4320</v>
      </c>
      <c r="L64" s="10">
        <v>209</v>
      </c>
      <c r="M64" s="8">
        <v>4320</v>
      </c>
      <c r="N64" s="7">
        <v>45961</v>
      </c>
      <c r="O64" s="8">
        <v>2167</v>
      </c>
      <c r="P64" s="11">
        <v>4320</v>
      </c>
    </row>
    <row r="65" spans="1:16" ht="12.75" customHeight="1" x14ac:dyDescent="0.2">
      <c r="A65" s="6" t="s">
        <v>195</v>
      </c>
      <c r="B65" s="6" t="s">
        <v>196</v>
      </c>
      <c r="C65" s="6" t="s">
        <v>197</v>
      </c>
      <c r="D65" s="6" t="s">
        <v>31</v>
      </c>
      <c r="E65" s="7">
        <v>45945</v>
      </c>
      <c r="F65" s="8">
        <v>13000</v>
      </c>
      <c r="G65" s="8">
        <v>3900</v>
      </c>
      <c r="H65" s="8">
        <v>16900</v>
      </c>
      <c r="I65" s="9">
        <v>13000</v>
      </c>
      <c r="J65" s="9">
        <v>3900</v>
      </c>
      <c r="K65" s="8">
        <v>16900</v>
      </c>
      <c r="L65" s="10">
        <v>218</v>
      </c>
      <c r="M65" s="8">
        <v>16900</v>
      </c>
      <c r="N65" s="7">
        <v>45952</v>
      </c>
      <c r="O65" s="8">
        <v>2817</v>
      </c>
      <c r="P65" s="11">
        <v>16900</v>
      </c>
    </row>
    <row r="66" spans="1:16" ht="12.75" customHeight="1" x14ac:dyDescent="0.2">
      <c r="A66" s="6" t="s">
        <v>198</v>
      </c>
      <c r="B66" s="6" t="s">
        <v>199</v>
      </c>
      <c r="C66" s="6" t="s">
        <v>200</v>
      </c>
      <c r="D66" s="6" t="s">
        <v>31</v>
      </c>
      <c r="E66" s="7">
        <v>45973</v>
      </c>
      <c r="F66" s="8">
        <v>12000</v>
      </c>
      <c r="G66" s="8">
        <v>3600</v>
      </c>
      <c r="H66" s="8">
        <v>15600</v>
      </c>
      <c r="I66" s="9">
        <v>3500</v>
      </c>
      <c r="J66" s="9">
        <v>600</v>
      </c>
      <c r="K66" s="8">
        <v>4100</v>
      </c>
      <c r="L66" s="10">
        <v>162</v>
      </c>
      <c r="M66" s="8">
        <v>4100</v>
      </c>
      <c r="N66" s="7">
        <v>46008</v>
      </c>
      <c r="O66" s="8">
        <v>2600</v>
      </c>
      <c r="P66" s="11">
        <v>4100</v>
      </c>
    </row>
    <row r="67" spans="1:16" ht="12.75" customHeight="1" x14ac:dyDescent="0.2">
      <c r="A67" s="6" t="s">
        <v>201</v>
      </c>
      <c r="B67" s="6" t="s">
        <v>202</v>
      </c>
      <c r="C67" s="6" t="s">
        <v>203</v>
      </c>
      <c r="D67" s="6" t="s">
        <v>42</v>
      </c>
      <c r="E67" s="7">
        <v>45989</v>
      </c>
      <c r="F67" s="8">
        <v>17000</v>
      </c>
      <c r="G67" s="8">
        <v>5100</v>
      </c>
      <c r="H67" s="8">
        <v>22100</v>
      </c>
      <c r="I67" s="9">
        <v>5668</v>
      </c>
      <c r="J67" s="9">
        <v>1417</v>
      </c>
      <c r="K67" s="8">
        <v>7085</v>
      </c>
      <c r="L67" s="10">
        <v>146</v>
      </c>
      <c r="M67" s="8">
        <v>7085</v>
      </c>
      <c r="N67" s="7">
        <v>46024</v>
      </c>
      <c r="O67" s="8">
        <v>3683</v>
      </c>
      <c r="P67" s="11">
        <v>7085</v>
      </c>
    </row>
    <row r="68" spans="1:16" ht="12.75" customHeight="1" x14ac:dyDescent="0.2">
      <c r="A68" s="6" t="s">
        <v>204</v>
      </c>
      <c r="B68" s="6" t="s">
        <v>205</v>
      </c>
      <c r="C68" s="6" t="s">
        <v>206</v>
      </c>
      <c r="D68" s="6" t="s">
        <v>23</v>
      </c>
      <c r="E68" s="7">
        <v>46027</v>
      </c>
      <c r="F68" s="8">
        <v>10000</v>
      </c>
      <c r="G68" s="8">
        <v>3000</v>
      </c>
      <c r="H68" s="8">
        <v>13000</v>
      </c>
      <c r="I68" s="9">
        <v>1720</v>
      </c>
      <c r="J68" s="9">
        <v>500</v>
      </c>
      <c r="K68" s="8">
        <v>2220</v>
      </c>
      <c r="L68" s="10">
        <v>108</v>
      </c>
      <c r="M68" s="8">
        <v>2220</v>
      </c>
      <c r="N68" s="7">
        <v>46062</v>
      </c>
      <c r="O68" s="8">
        <v>2167</v>
      </c>
      <c r="P68" s="11">
        <v>2220</v>
      </c>
    </row>
    <row r="69" spans="1:16" ht="12.75" customHeight="1" x14ac:dyDescent="0.2">
      <c r="A69" s="6" t="s">
        <v>207</v>
      </c>
      <c r="B69" s="6" t="s">
        <v>208</v>
      </c>
      <c r="C69" s="6" t="s">
        <v>209</v>
      </c>
      <c r="D69" s="6" t="s">
        <v>31</v>
      </c>
      <c r="E69" s="7">
        <v>46069</v>
      </c>
      <c r="F69" s="8">
        <v>12000</v>
      </c>
      <c r="G69" s="8">
        <v>3600</v>
      </c>
      <c r="H69" s="8">
        <v>15600</v>
      </c>
      <c r="I69" s="9">
        <v>5450</v>
      </c>
      <c r="J69" s="9">
        <v>1200</v>
      </c>
      <c r="K69" s="8">
        <v>6650</v>
      </c>
      <c r="L69" s="10">
        <v>73</v>
      </c>
      <c r="M69" s="8">
        <v>6650</v>
      </c>
      <c r="N69" s="7">
        <v>46097</v>
      </c>
      <c r="O69" s="8">
        <v>2600</v>
      </c>
      <c r="P69" s="11">
        <v>6650</v>
      </c>
    </row>
    <row r="70" spans="1:16" ht="12.75" customHeight="1" x14ac:dyDescent="0.2">
      <c r="A70" s="12" t="s">
        <v>210</v>
      </c>
      <c r="B70" s="12" t="s">
        <v>211</v>
      </c>
      <c r="C70" s="12" t="s">
        <v>212</v>
      </c>
      <c r="D70" s="12" t="s">
        <v>23</v>
      </c>
      <c r="E70" s="13">
        <v>46087</v>
      </c>
      <c r="F70" s="14">
        <v>10000</v>
      </c>
      <c r="G70" s="14">
        <v>3000</v>
      </c>
      <c r="H70" s="14">
        <v>13000</v>
      </c>
      <c r="I70" s="15">
        <v>1665</v>
      </c>
      <c r="J70" s="15">
        <v>485</v>
      </c>
      <c r="K70" s="14">
        <v>2150</v>
      </c>
      <c r="L70" s="16">
        <v>41</v>
      </c>
      <c r="M70" s="14">
        <v>2150</v>
      </c>
      <c r="N70" s="13">
        <v>46129</v>
      </c>
      <c r="O70" s="14">
        <v>2167</v>
      </c>
      <c r="P70" s="17">
        <v>2150</v>
      </c>
    </row>
    <row r="71" spans="1:16" ht="12.75" customHeight="1" x14ac:dyDescent="0.2">
      <c r="A71" s="12" t="s">
        <v>213</v>
      </c>
      <c r="B71" s="12" t="s">
        <v>214</v>
      </c>
      <c r="C71" s="12" t="s">
        <v>215</v>
      </c>
      <c r="D71" s="12" t="s">
        <v>31</v>
      </c>
      <c r="E71" s="13">
        <v>46134</v>
      </c>
      <c r="F71" s="14">
        <v>12000</v>
      </c>
      <c r="G71" s="14">
        <v>3600</v>
      </c>
      <c r="H71" s="14">
        <v>15600</v>
      </c>
      <c r="I71" s="15">
        <v>3750</v>
      </c>
      <c r="J71" s="15">
        <v>600</v>
      </c>
      <c r="K71" s="14">
        <v>4350</v>
      </c>
      <c r="L71" s="16">
        <v>1</v>
      </c>
      <c r="M71" s="14">
        <v>1750</v>
      </c>
      <c r="N71" s="13">
        <v>46169</v>
      </c>
      <c r="O71" s="14">
        <v>2600</v>
      </c>
      <c r="P71" s="17">
        <v>1750</v>
      </c>
    </row>
    <row r="72" spans="1:16" ht="12.75" customHeight="1" x14ac:dyDescent="0.2">
      <c r="A72" s="12" t="s">
        <v>216</v>
      </c>
      <c r="B72" s="12" t="s">
        <v>217</v>
      </c>
      <c r="C72" s="12" t="s">
        <v>218</v>
      </c>
      <c r="D72" s="12" t="s">
        <v>23</v>
      </c>
      <c r="E72" s="13">
        <v>46134</v>
      </c>
      <c r="F72" s="14">
        <v>10000</v>
      </c>
      <c r="G72" s="14">
        <v>3000</v>
      </c>
      <c r="H72" s="14">
        <v>13000</v>
      </c>
      <c r="I72" s="15">
        <v>3332</v>
      </c>
      <c r="J72" s="15">
        <v>988</v>
      </c>
      <c r="K72" s="14">
        <v>4320</v>
      </c>
      <c r="L72" s="16">
        <v>1</v>
      </c>
      <c r="M72" s="14">
        <v>2155</v>
      </c>
      <c r="N72" s="13">
        <v>46169</v>
      </c>
      <c r="O72" s="14">
        <v>2167</v>
      </c>
      <c r="P72" s="17">
        <v>2155</v>
      </c>
    </row>
    <row r="73" spans="1:16" ht="12.75" customHeight="1" x14ac:dyDescent="0.2">
      <c r="A73" s="12" t="s">
        <v>219</v>
      </c>
      <c r="B73" s="12" t="s">
        <v>220</v>
      </c>
      <c r="C73" s="12" t="s">
        <v>221</v>
      </c>
      <c r="D73" s="12" t="s">
        <v>23</v>
      </c>
      <c r="E73" s="13">
        <v>46140</v>
      </c>
      <c r="F73" s="14">
        <v>7000</v>
      </c>
      <c r="G73" s="14">
        <v>3010</v>
      </c>
      <c r="H73" s="14">
        <v>10010</v>
      </c>
      <c r="I73" s="15">
        <v>3328</v>
      </c>
      <c r="J73" s="15">
        <v>1002</v>
      </c>
      <c r="K73" s="14">
        <v>4330</v>
      </c>
      <c r="L73" s="16">
        <v>2</v>
      </c>
      <c r="M73" s="14">
        <v>996</v>
      </c>
      <c r="N73" s="13">
        <v>46168</v>
      </c>
      <c r="O73" s="14">
        <v>1669</v>
      </c>
      <c r="P73" s="17">
        <v>996</v>
      </c>
    </row>
    <row r="74" spans="1:16" ht="12.75" customHeight="1" x14ac:dyDescent="0.2">
      <c r="A74" s="12" t="s">
        <v>222</v>
      </c>
      <c r="B74" s="12" t="s">
        <v>223</v>
      </c>
      <c r="C74" s="12" t="s">
        <v>224</v>
      </c>
      <c r="D74" s="12" t="s">
        <v>23</v>
      </c>
      <c r="E74" s="13">
        <v>46141</v>
      </c>
      <c r="F74" s="14">
        <v>10000</v>
      </c>
      <c r="G74" s="14">
        <v>3000</v>
      </c>
      <c r="H74" s="14">
        <v>13000</v>
      </c>
      <c r="I74" s="15">
        <v>6500</v>
      </c>
      <c r="J74" s="15">
        <v>1500</v>
      </c>
      <c r="K74" s="14">
        <v>8000</v>
      </c>
      <c r="L74" s="16">
        <v>8</v>
      </c>
      <c r="M74" s="14">
        <v>3668</v>
      </c>
      <c r="N74" s="13">
        <v>46162</v>
      </c>
      <c r="O74" s="14">
        <v>2167</v>
      </c>
      <c r="P74" s="17">
        <v>3668</v>
      </c>
    </row>
    <row r="75" spans="1:16" ht="12.75" customHeight="1" x14ac:dyDescent="0.2">
      <c r="A75" s="12" t="s">
        <v>225</v>
      </c>
      <c r="B75" s="12" t="s">
        <v>226</v>
      </c>
      <c r="C75" s="12" t="s">
        <v>227</v>
      </c>
      <c r="D75" s="12" t="s">
        <v>23</v>
      </c>
      <c r="E75" s="13">
        <v>46156</v>
      </c>
      <c r="F75" s="14">
        <v>10000</v>
      </c>
      <c r="G75" s="14">
        <v>2000</v>
      </c>
      <c r="H75" s="14">
        <v>12000</v>
      </c>
      <c r="I75" s="15">
        <v>10000</v>
      </c>
      <c r="J75" s="15">
        <v>2000</v>
      </c>
      <c r="K75" s="14">
        <v>12000</v>
      </c>
      <c r="L75" s="16">
        <v>7</v>
      </c>
      <c r="M75" s="14">
        <v>6000</v>
      </c>
      <c r="N75" s="13">
        <v>46163</v>
      </c>
      <c r="O75" s="14">
        <v>3000</v>
      </c>
      <c r="P75" s="17">
        <v>6000</v>
      </c>
    </row>
    <row r="76" spans="1:16" ht="12.75" customHeight="1" x14ac:dyDescent="0.2">
      <c r="A76" s="12" t="s">
        <v>228</v>
      </c>
      <c r="B76" s="12" t="s">
        <v>229</v>
      </c>
      <c r="C76" s="12" t="s">
        <v>230</v>
      </c>
      <c r="D76" s="12" t="s">
        <v>31</v>
      </c>
      <c r="E76" s="13">
        <v>46161</v>
      </c>
      <c r="F76" s="14">
        <v>13000</v>
      </c>
      <c r="G76" s="14">
        <v>3900</v>
      </c>
      <c r="H76" s="14">
        <v>16900</v>
      </c>
      <c r="I76" s="15">
        <v>13000</v>
      </c>
      <c r="J76" s="15">
        <v>3900</v>
      </c>
      <c r="K76" s="14">
        <v>16900</v>
      </c>
      <c r="L76" s="16">
        <v>2</v>
      </c>
      <c r="M76" s="14">
        <v>2817</v>
      </c>
      <c r="N76" s="13">
        <v>46168</v>
      </c>
      <c r="O76" s="14">
        <v>2817</v>
      </c>
      <c r="P76" s="17">
        <v>2817</v>
      </c>
    </row>
    <row r="77" spans="1:16" ht="12.75" customHeight="1" x14ac:dyDescent="0.2">
      <c r="A77" s="12" t="s">
        <v>231</v>
      </c>
      <c r="B77" s="12" t="s">
        <v>232</v>
      </c>
      <c r="C77" s="12" t="s">
        <v>233</v>
      </c>
      <c r="D77" s="12" t="s">
        <v>23</v>
      </c>
      <c r="E77" s="13">
        <v>46162</v>
      </c>
      <c r="F77" s="14">
        <v>10000</v>
      </c>
      <c r="G77" s="14">
        <v>3000</v>
      </c>
      <c r="H77" s="14">
        <v>13000</v>
      </c>
      <c r="I77" s="15">
        <v>10000</v>
      </c>
      <c r="J77" s="15">
        <v>3000</v>
      </c>
      <c r="K77" s="14">
        <v>13000</v>
      </c>
      <c r="L77" s="16">
        <v>1</v>
      </c>
      <c r="M77" s="14">
        <v>2167</v>
      </c>
      <c r="N77" s="13">
        <v>46169</v>
      </c>
      <c r="O77" s="14">
        <v>2167</v>
      </c>
      <c r="P77" s="17">
        <v>2167</v>
      </c>
    </row>
    <row r="78" spans="1:16" ht="12.75" customHeight="1" x14ac:dyDescent="0.2">
      <c r="A78" s="18"/>
      <c r="B78" s="19">
        <v>15</v>
      </c>
      <c r="C78" s="18"/>
      <c r="D78" s="18"/>
      <c r="E78" s="18"/>
      <c r="F78" s="8">
        <v>166000</v>
      </c>
      <c r="G78" s="8">
        <v>49710</v>
      </c>
      <c r="H78" s="8">
        <v>215710</v>
      </c>
      <c r="I78" s="9">
        <v>87295</v>
      </c>
      <c r="J78" s="9">
        <v>22580</v>
      </c>
      <c r="K78" s="8">
        <v>109875</v>
      </c>
      <c r="L78" s="18"/>
      <c r="M78" s="8">
        <v>66528</v>
      </c>
      <c r="N78" s="18"/>
      <c r="O78" s="18"/>
      <c r="P78" s="20">
        <v>66528</v>
      </c>
    </row>
    <row r="79" spans="1:16" ht="12.75" customHeight="1" x14ac:dyDescent="0.2">
      <c r="A79" s="18"/>
      <c r="B79" s="19">
        <v>69</v>
      </c>
      <c r="C79" s="18"/>
      <c r="D79" s="18"/>
      <c r="E79" s="18"/>
      <c r="F79" s="8">
        <v>993000</v>
      </c>
      <c r="G79" s="8">
        <v>308745.90999999997</v>
      </c>
      <c r="H79" s="8">
        <v>1301745.9099999999</v>
      </c>
      <c r="I79" s="9">
        <v>454473.17</v>
      </c>
      <c r="J79" s="9">
        <v>136260.91</v>
      </c>
      <c r="K79" s="8">
        <v>590734.07999999996</v>
      </c>
      <c r="L79" s="18"/>
      <c r="M79" s="8">
        <v>302006.17</v>
      </c>
      <c r="N79" s="18"/>
      <c r="O79" s="18"/>
      <c r="P79" s="20">
        <f>P21+P41+P61+P78</f>
        <v>287506.17</v>
      </c>
    </row>
    <row r="80" spans="1:16" ht="12.75" customHeight="1" x14ac:dyDescent="0.2">
      <c r="A80" s="19">
        <v>1</v>
      </c>
      <c r="B80" s="6" t="s">
        <v>234</v>
      </c>
      <c r="C80" s="21">
        <v>46170</v>
      </c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4"/>
    </row>
    <row r="81" spans="1:16" x14ac:dyDescent="0.2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4"/>
    </row>
    <row r="82" spans="1:16" x14ac:dyDescent="0.2">
      <c r="A82" s="22" t="s">
        <v>235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3"/>
    </row>
    <row r="83" spans="1:16" ht="12.75" customHeight="1" x14ac:dyDescent="0.2">
      <c r="A83" s="18"/>
      <c r="B83" s="24" t="s">
        <v>236</v>
      </c>
      <c r="C83" s="25"/>
      <c r="D83" s="25"/>
      <c r="E83" s="25"/>
      <c r="F83" s="25"/>
      <c r="G83" s="25"/>
      <c r="H83" s="18"/>
      <c r="I83" s="18"/>
      <c r="J83" s="18"/>
      <c r="K83" s="18"/>
      <c r="L83" s="18"/>
      <c r="M83" s="18"/>
      <c r="N83" s="18"/>
      <c r="O83" s="18"/>
      <c r="P83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Christopher Mwangi</cp:lastModifiedBy>
  <dcterms:created xsi:type="dcterms:W3CDTF">2026-05-28T04:13:29Z</dcterms:created>
  <dcterms:modified xsi:type="dcterms:W3CDTF">2026-05-28T07:19:25Z</dcterms:modified>
</cp:coreProperties>
</file>